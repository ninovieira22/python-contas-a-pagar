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" sheetId="1" r:id="rId5"/>
    <sheet state="hidden" name="Out" sheetId="2" r:id="rId6"/>
    <sheet state="hidden" name="Out Pedro" sheetId="3" r:id="rId7"/>
    <sheet state="hidden" name="Nov" sheetId="4" r:id="rId8"/>
    <sheet state="hidden" name="Nov Pedro" sheetId="5" r:id="rId9"/>
    <sheet state="hidden" name="Dez" sheetId="6" r:id="rId10"/>
    <sheet state="hidden" name="Dez Pedro" sheetId="7" r:id="rId11"/>
    <sheet state="hidden" name="Jan26" sheetId="8" r:id="rId12"/>
    <sheet state="hidden" name="Jan Pedro" sheetId="9" r:id="rId13"/>
    <sheet state="visible" name="Fev26" sheetId="10" r:id="rId14"/>
    <sheet state="visible" name="Fev Vitoria" sheetId="11" r:id="rId15"/>
    <sheet state="visible" name="Fev Pedro" sheetId="12" r:id="rId16"/>
    <sheet state="visible" name="Mar26" sheetId="13" r:id="rId17"/>
    <sheet state="visible" name="Mar Pedro" sheetId="14" r:id="rId18"/>
    <sheet state="visible" name="Abr26" sheetId="15" r:id="rId19"/>
  </sheets>
  <definedNames>
    <definedName hidden="1" localSheetId="0" name="_xlnm._FilterDatabase">Set!$A$1:$D$100</definedName>
    <definedName hidden="1" localSheetId="1" name="_xlnm._FilterDatabase">Out!$A$1:$D$133</definedName>
    <definedName hidden="1" localSheetId="3" name="_xlnm._FilterDatabase">Nov!$A$1:$D$944</definedName>
    <definedName hidden="1" localSheetId="4" name="_xlnm._FilterDatabase">'Nov Pedro'!$B$2:$F$16</definedName>
    <definedName hidden="1" localSheetId="5" name="_xlnm._FilterDatabase">Dez!$A$1:$D$130</definedName>
    <definedName hidden="1" localSheetId="6" name="_xlnm._FilterDatabase">'Dez Pedro'!$B$2:$G$28</definedName>
    <definedName hidden="1" localSheetId="7" name="_xlnm._FilterDatabase">'Jan26'!$A$1:$D$198</definedName>
    <definedName hidden="1" localSheetId="8" name="_xlnm._FilterDatabase">'Jan Pedro'!$B$2:$G$27</definedName>
    <definedName hidden="1" localSheetId="9" name="_xlnm._FilterDatabase">'Fev26'!$A$1:$D$182</definedName>
    <definedName hidden="1" localSheetId="10" name="_xlnm._FilterDatabase">'Fev Vitoria'!$A$1:$D$35</definedName>
    <definedName hidden="1" localSheetId="11" name="_xlnm._FilterDatabase">'Fev Pedro'!$B$2:$F$29</definedName>
    <definedName hidden="1" localSheetId="12" name="_xlnm._FilterDatabase">'Mar26'!$A$1:$D$176</definedName>
    <definedName hidden="1" localSheetId="13" name="_xlnm._FilterDatabase">'Mar Pedro'!$B$2:$F$49</definedName>
    <definedName hidden="1" localSheetId="14" name="_xlnm._FilterDatabase">'Abr26'!$A$1:$D$79</definedName>
  </definedNames>
  <calcPr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</pivotCaches>
</workbook>
</file>

<file path=xl/sharedStrings.xml><?xml version="1.0" encoding="utf-8"?>
<sst xmlns="http://schemas.openxmlformats.org/spreadsheetml/2006/main" count="3379" uniqueCount="1041">
  <si>
    <t>date</t>
  </si>
  <si>
    <t>title</t>
  </si>
  <si>
    <t>amount</t>
  </si>
  <si>
    <t>categoria</t>
  </si>
  <si>
    <t>Airbnb * Hm8cksqf8d - Parcela 3/7</t>
  </si>
  <si>
    <t>Viagem casa</t>
  </si>
  <si>
    <t>Total</t>
  </si>
  <si>
    <t>Cashback</t>
  </si>
  <si>
    <t>Valor</t>
  </si>
  <si>
    <t>diff</t>
  </si>
  <si>
    <t>Caixinha</t>
  </si>
  <si>
    <t>LG TV nova - Parcela 5/12</t>
  </si>
  <si>
    <t>Compra parcelada</t>
  </si>
  <si>
    <t>Pedro</t>
  </si>
  <si>
    <t>R$ 6,697,65</t>
  </si>
  <si>
    <t>Radiadores Agua Funda - Parcela 2/3</t>
  </si>
  <si>
    <t>Carro</t>
  </si>
  <si>
    <t>Niver Guiga</t>
  </si>
  <si>
    <t>Carrefour fogão - Parcela 8/10</t>
  </si>
  <si>
    <t>Fatura real</t>
  </si>
  <si>
    <t>EBW*NuViagens - NuPay - Parcela 3/12</t>
  </si>
  <si>
    <t>Viagem passagens</t>
  </si>
  <si>
    <t>R$ 6,706,53</t>
  </si>
  <si>
    <t>Pag*Ea FC 26 - Parcela 2/3</t>
  </si>
  <si>
    <t>Saldo na conta</t>
  </si>
  <si>
    <t>R$ 6,710,96</t>
  </si>
  <si>
    <t>Drogaria Sao Paulo - Parcela 3/3</t>
  </si>
  <si>
    <t>Vitaminas</t>
  </si>
  <si>
    <t>Caixinhas</t>
  </si>
  <si>
    <t>R$ 6,715,39</t>
  </si>
  <si>
    <t>Carrefour Anchieta - Parcela 2/2</t>
  </si>
  <si>
    <t>Mercado</t>
  </si>
  <si>
    <t>R$ 8,827,20</t>
  </si>
  <si>
    <t>Óculos Pedro - Parcela 5/6</t>
  </si>
  <si>
    <t>Fisia Nike Ecommer - Parcela 3/4</t>
  </si>
  <si>
    <t>Vitória</t>
  </si>
  <si>
    <t>R$ 8,919,83</t>
  </si>
  <si>
    <t>Kabum Cadeira escritório - Parcela 7/10</t>
  </si>
  <si>
    <t xml:space="preserve">fatura vitória </t>
  </si>
  <si>
    <t>R$ 1,036,00</t>
  </si>
  <si>
    <t>Carrefour Anchieta</t>
  </si>
  <si>
    <t>previsao salario 30/09</t>
  </si>
  <si>
    <t>R$ 2,111,81</t>
  </si>
  <si>
    <t>Cotton On - Shopping - Parcela 2/3</t>
  </si>
  <si>
    <t>Pedro vai pagar dos atrasados</t>
  </si>
  <si>
    <t>Carrefour Spa</t>
  </si>
  <si>
    <t>Pbsetyou - Parcela 2/3</t>
  </si>
  <si>
    <t>Diferença saldo e cartão</t>
  </si>
  <si>
    <t>Barbearia</t>
  </si>
  <si>
    <t>Lucas</t>
  </si>
  <si>
    <t>Dinho Espetinho</t>
  </si>
  <si>
    <t>Viagem comida</t>
  </si>
  <si>
    <t>Diferença total estimado</t>
  </si>
  <si>
    <t>Atakarejo Distribuido</t>
  </si>
  <si>
    <t>Havaianas</t>
  </si>
  <si>
    <t>Viagem presente</t>
  </si>
  <si>
    <t>Coelhinho 22 de Abril</t>
  </si>
  <si>
    <t>Farmacia Indiana 261 P</t>
  </si>
  <si>
    <t>Viagem farmacia</t>
  </si>
  <si>
    <t>Gru Praca Term Ii</t>
  </si>
  <si>
    <t>Eco Bag</t>
  </si>
  <si>
    <t>parcelamentos</t>
  </si>
  <si>
    <t>valor</t>
  </si>
  <si>
    <t>parcela</t>
  </si>
  <si>
    <t>parcelado total</t>
  </si>
  <si>
    <t>juros</t>
  </si>
  <si>
    <t>Mp *Melimais</t>
  </si>
  <si>
    <t>Assinatura</t>
  </si>
  <si>
    <t>Gallo Deck</t>
  </si>
  <si>
    <t>Supermercado da Orla</t>
  </si>
  <si>
    <t>Camaraodapraia</t>
  </si>
  <si>
    <t>Dois M Artesanatos</t>
  </si>
  <si>
    <t>Santo Porco Bar</t>
  </si>
  <si>
    <t>Mestre do Pao</t>
  </si>
  <si>
    <t>Cabana Macuco</t>
  </si>
  <si>
    <t>Arte Pura Artesanato e</t>
  </si>
  <si>
    <t>Quiosque Roxo Praia Bar</t>
  </si>
  <si>
    <t>Microsoft*Microsoft</t>
  </si>
  <si>
    <t>Acai de Porto</t>
  </si>
  <si>
    <t>61,511,472 Pedro Vict</t>
  </si>
  <si>
    <t>Padaria Lanchonete e</t>
  </si>
  <si>
    <t>Ifd*Ifood Club</t>
  </si>
  <si>
    <t>Auto Posto Navegantes</t>
  </si>
  <si>
    <t>Julialimaleal</t>
  </si>
  <si>
    <t>Autozone</t>
  </si>
  <si>
    <t>Berrys Ice Food</t>
  </si>
  <si>
    <t>Mp *Bruno</t>
  </si>
  <si>
    <t>Wps*Laene Silva Lima G</t>
  </si>
  <si>
    <t>Dell - Parcela 1/6</t>
  </si>
  <si>
    <t>Mãe</t>
  </si>
  <si>
    <t>Deziree</t>
  </si>
  <si>
    <t>Coelhinho Orla</t>
  </si>
  <si>
    <t>Movida Rac Pose - Parcela 1/3</t>
  </si>
  <si>
    <t>Viagem Carro</t>
  </si>
  <si>
    <t>Postocomaris</t>
  </si>
  <si>
    <t>Portao 7 -</t>
  </si>
  <si>
    <t>Posto do Bira</t>
  </si>
  <si>
    <t>Swift</t>
  </si>
  <si>
    <t>Netflix,Com</t>
  </si>
  <si>
    <t>Google Youtube</t>
  </si>
  <si>
    <t>Ebn*Spotify</t>
  </si>
  <si>
    <t>UOL Cursos Tecnologia Educacio PROCESSADO POR ADYE - 1/2</t>
  </si>
  <si>
    <t>Pedro Henrique Afonso de Camargo - 1/5</t>
  </si>
  <si>
    <t>Mercadolivre*2produtos</t>
  </si>
  <si>
    <t>Compra</t>
  </si>
  <si>
    <t>Rdsaude Online - Parcela 1/3</t>
  </si>
  <si>
    <t>Kalunga Ipir*Kalunga</t>
  </si>
  <si>
    <t>Tol Park Estacionament</t>
  </si>
  <si>
    <t>Assinatura Max desconto Nubank</t>
  </si>
  <si>
    <t>Mdpsthshplaza Sul Shop</t>
  </si>
  <si>
    <t>Fast food</t>
  </si>
  <si>
    <t>Asaas *Allya</t>
  </si>
  <si>
    <t>Cinemark S Bernardo</t>
  </si>
  <si>
    <t>Propark</t>
  </si>
  <si>
    <t>Edwardbelloramos</t>
  </si>
  <si>
    <t>Alissoncamarg</t>
  </si>
  <si>
    <t>Tarcianodesouza - Parcela 1/2</t>
  </si>
  <si>
    <t>Ab Ice Creams e Acai L</t>
  </si>
  <si>
    <t>Uber Uber *Trip Help,U</t>
  </si>
  <si>
    <t>Wellhub Gympass Br Gym</t>
  </si>
  <si>
    <t>Mp *Barbearia</t>
  </si>
  <si>
    <t>Centro Automotivo Psx5</t>
  </si>
  <si>
    <t>Centro Automotivo Psx5 - Parcela 1/3</t>
  </si>
  <si>
    <t>Google One</t>
  </si>
  <si>
    <t>Estacionamentowa</t>
  </si>
  <si>
    <t>Cercadao</t>
  </si>
  <si>
    <t>UOL Cursos Tecnologia Educacio PROCESSADO POR ADYE - 1/3</t>
  </si>
  <si>
    <t>Heroos Gelatos</t>
  </si>
  <si>
    <t>Capcut</t>
  </si>
  <si>
    <t>Ingressos Pedro</t>
  </si>
  <si>
    <t>Café da manhã</t>
  </si>
  <si>
    <t>Drogaria</t>
  </si>
  <si>
    <t>Farmácia</t>
  </si>
  <si>
    <t>Sorvete</t>
  </si>
  <si>
    <t>Gás</t>
  </si>
  <si>
    <t>Mercadinho perto de casa</t>
  </si>
  <si>
    <t>Farmacia</t>
  </si>
  <si>
    <t>Padaria</t>
  </si>
  <si>
    <t>Parcelamento de Compra - Gallo Deck - 1/2</t>
  </si>
  <si>
    <t>Compra viagem parcelada</t>
  </si>
  <si>
    <t>Parcelamento de Compra - Camaraodapraia - 1/2</t>
  </si>
  <si>
    <t>Parcelamento de Compra - Santo Porco Bar - 1/2</t>
  </si>
  <si>
    <t>Parcelamento de Compra - Cabana Macuco - 1/2</t>
  </si>
  <si>
    <t>Parcelamento de Compra - Quiosque Roxo Praia Bar - 1/2</t>
  </si>
  <si>
    <t>00052 Sh Plaza Sul - Parcela 1/2</t>
  </si>
  <si>
    <t>Total fatura</t>
  </si>
  <si>
    <t>5m Comercio Atacadista</t>
  </si>
  <si>
    <t>SUM de amount</t>
  </si>
  <si>
    <t>60092703denilton</t>
  </si>
  <si>
    <t>Fastfood</t>
  </si>
  <si>
    <t>Pedro Total</t>
  </si>
  <si>
    <t>Resenha</t>
  </si>
  <si>
    <t>99 food *Italin House</t>
  </si>
  <si>
    <t>Carro Total</t>
  </si>
  <si>
    <t>Youtube</t>
  </si>
  <si>
    <t>99 food *Miellna Sweet</t>
  </si>
  <si>
    <t>Vitória Total</t>
  </si>
  <si>
    <t>99food *Kfc - Plaza Su Pedro</t>
  </si>
  <si>
    <t>Fastfood Total</t>
  </si>
  <si>
    <t>Compra parcelada Total</t>
  </si>
  <si>
    <t>Compra viagem parcelada Total</t>
  </si>
  <si>
    <t>R$ 8,023,08</t>
  </si>
  <si>
    <t>Abraao de Morais Poin</t>
  </si>
  <si>
    <t>Mercado Total</t>
  </si>
  <si>
    <t>Airbnb * Hm8cksqf8d - Parcela 4/7</t>
  </si>
  <si>
    <t>Mãe Total</t>
  </si>
  <si>
    <t>Art Livieiro Panifica</t>
  </si>
  <si>
    <t>Gatos Total</t>
  </si>
  <si>
    <t>Lucas Total</t>
  </si>
  <si>
    <t>Salário 15/10</t>
  </si>
  <si>
    <t>Viagem Carro Total</t>
  </si>
  <si>
    <t>Salário 30/10</t>
  </si>
  <si>
    <t>R$ 2,499,00</t>
  </si>
  <si>
    <t>Banca de Jornal</t>
  </si>
  <si>
    <t>Farmácia Total</t>
  </si>
  <si>
    <t>Bbb Ps Hamburgueria</t>
  </si>
  <si>
    <t>Viagem casa Total</t>
  </si>
  <si>
    <t>Camilasayuri pastel pedro</t>
  </si>
  <si>
    <t>Assinatura Total</t>
  </si>
  <si>
    <t>Saldo total previsto no fim do mês</t>
  </si>
  <si>
    <t>Cana Mania Megumi</t>
  </si>
  <si>
    <t>Role liberadade</t>
  </si>
  <si>
    <t>Fast food Total</t>
  </si>
  <si>
    <t>Gatos</t>
  </si>
  <si>
    <t>Resenha Total</t>
  </si>
  <si>
    <t>Viagem passagens Total</t>
  </si>
  <si>
    <t>Carrefour Anchieta petz - Parcela 1/2</t>
  </si>
  <si>
    <t>Viagem passeio Total</t>
  </si>
  <si>
    <t>Carrefour fogão - Parcela 9/10</t>
  </si>
  <si>
    <t>Role liberadade Total</t>
  </si>
  <si>
    <t>Centro Automotivo Psx5 - Parcela 2/3</t>
  </si>
  <si>
    <t>Viagem uber Total</t>
  </si>
  <si>
    <t>Centro Medico Veterina - Parcela 1/2</t>
  </si>
  <si>
    <t>Compra Total</t>
  </si>
  <si>
    <t>Cotton On - Shopping - Parcela 3/3</t>
  </si>
  <si>
    <t>Adega Total</t>
  </si>
  <si>
    <t>resenha</t>
  </si>
  <si>
    <t>Cristal</t>
  </si>
  <si>
    <t>Vitória (app de livro) Total</t>
  </si>
  <si>
    <t>item</t>
  </si>
  <si>
    <t>valor total</t>
  </si>
  <si>
    <t>para cada (6)</t>
  </si>
  <si>
    <t>eu e vi</t>
  </si>
  <si>
    <t>de Espetinhos</t>
  </si>
  <si>
    <t>Resenha Pedro Total</t>
  </si>
  <si>
    <t>narguile</t>
  </si>
  <si>
    <t>Dell - Parcela 2/6</t>
  </si>
  <si>
    <t>Maguila Total</t>
  </si>
  <si>
    <t>Deposito Rufino Materi</t>
  </si>
  <si>
    <t xml:space="preserve"> Total</t>
  </si>
  <si>
    <t>Total geral</t>
  </si>
  <si>
    <t>para cada (4)</t>
  </si>
  <si>
    <t>pizza</t>
  </si>
  <si>
    <t>Deposito Rufino Materi pedro</t>
  </si>
  <si>
    <t>Doceria Rejane</t>
  </si>
  <si>
    <t>youtube</t>
  </si>
  <si>
    <t>Drogaria Sao Paulo</t>
  </si>
  <si>
    <t>minha</t>
  </si>
  <si>
    <t>assinatura ytbe</t>
  </si>
  <si>
    <t>Ebn *Spotify</t>
  </si>
  <si>
    <t>Ebn*Capcut</t>
  </si>
  <si>
    <t>EBW*NuViagens - NuPay - Parcela 4/12</t>
  </si>
  <si>
    <t>Fisia Nike Ecommer - Parcela 4/4</t>
  </si>
  <si>
    <t>Gersonmassahiroos pedro</t>
  </si>
  <si>
    <t>Gomes Minimercado</t>
  </si>
  <si>
    <t>Resenha Pedro</t>
  </si>
  <si>
    <t>Gomes Minimercado Pedro</t>
  </si>
  <si>
    <t>Grupo Leone Comercio - Chiquinho</t>
  </si>
  <si>
    <t>Ifd*Hilla Doces</t>
  </si>
  <si>
    <t>Infinitipark</t>
  </si>
  <si>
    <t>Itiriki</t>
  </si>
  <si>
    <t>Joao Dantas Formiga</t>
  </si>
  <si>
    <t>Jr Estacionamento</t>
  </si>
  <si>
    <t>Kabum Cadeira escritório - Parcela 8/10</t>
  </si>
  <si>
    <t>Kalunga Ipiranga</t>
  </si>
  <si>
    <t>KFC Shp Plaza Sul</t>
  </si>
  <si>
    <t>Kingyo</t>
  </si>
  <si>
    <t>LG TV nova - Parcela 6/12</t>
  </si>
  <si>
    <t>Mar Cristal Paes e</t>
  </si>
  <si>
    <t>Mercadinho Jd Botucatu</t>
  </si>
  <si>
    <t>Mercadinho Marcinha</t>
  </si>
  <si>
    <t>Mercadinho Marcinha Pedro</t>
  </si>
  <si>
    <t>Mercado Extra-1710</t>
  </si>
  <si>
    <t>Mercadolivre*Lojasopr - Parcela 1/2</t>
  </si>
  <si>
    <t>Mmsconviniencia</t>
  </si>
  <si>
    <t>Adega</t>
  </si>
  <si>
    <t>Movida Rac Pose - Parcela 2/3</t>
  </si>
  <si>
    <t>Mp *Alissoncamarg</t>
  </si>
  <si>
    <t>Mp *Alissoncamarg narguilé resenha</t>
  </si>
  <si>
    <t>Mp *Vini</t>
  </si>
  <si>
    <t>Mp *Vini cabo iphone</t>
  </si>
  <si>
    <t>Oakberry Acai Bowls</t>
  </si>
  <si>
    <t>Óculos Pedro - Parcela 6/6</t>
  </si>
  <si>
    <t>Oggi Sorvetes</t>
  </si>
  <si>
    <t>Oxxo Caste</t>
  </si>
  <si>
    <t>Pag*Ea FC 26 - Parcela 3/3</t>
  </si>
  <si>
    <t>Panificador Nova Prin</t>
  </si>
  <si>
    <t>Parcelamento de Compra - Cabana Macuco - 2/2</t>
  </si>
  <si>
    <t>Parcelamento de Compra - Camaraodapraia - 2/2</t>
  </si>
  <si>
    <t>Parcelamento de Compra - Gallo Deck - 2/2</t>
  </si>
  <si>
    <t>Parcelamento de Compra - Quiosque Roxo Praia Bar - 2/2</t>
  </si>
  <si>
    <t>Parcelamento de Compra - Santo Porco Bar - 2/2</t>
  </si>
  <si>
    <t>Pastel da Vila</t>
  </si>
  <si>
    <t>Pbsetyou - Parcela 3/3</t>
  </si>
  <si>
    <t>Pedro Henrique Afonso de Camargo - 2/5</t>
  </si>
  <si>
    <t>Petz Assai Anchieta</t>
  </si>
  <si>
    <t>Petz Carrefour Imigran</t>
  </si>
  <si>
    <t>Pizzaria e Restaurante</t>
  </si>
  <si>
    <t>Posto Lyon</t>
  </si>
  <si>
    <t>Posto Tancredo Neves</t>
  </si>
  <si>
    <t>Postomariaestela pedro</t>
  </si>
  <si>
    <t>Postomariaestela Pedro</t>
  </si>
  <si>
    <t>Ppro *Microsoft</t>
  </si>
  <si>
    <t>Radiadores Agua Funda - Parcela 3/3</t>
  </si>
  <si>
    <t>Rdsaude Online - Parcela 2/3</t>
  </si>
  <si>
    <t>Remediopopular</t>
  </si>
  <si>
    <t>Remediopopular vitamina D</t>
  </si>
  <si>
    <t>Rogerio Ferreira</t>
  </si>
  <si>
    <t>Viagem uber</t>
  </si>
  <si>
    <t>Sacolao Vila das Merce</t>
  </si>
  <si>
    <t>Scribd</t>
  </si>
  <si>
    <t>Vitória (app de livro)</t>
  </si>
  <si>
    <t>Sodimac</t>
  </si>
  <si>
    <t>Sos Farma Lj</t>
  </si>
  <si>
    <t>Swift Pedro</t>
  </si>
  <si>
    <t>Swift Vila das Merces</t>
  </si>
  <si>
    <t>Tarcianodesouza - Parcela 2/2</t>
  </si>
  <si>
    <t>TRANCOSO RATATUR - 1/4</t>
  </si>
  <si>
    <t>Viagem passeio</t>
  </si>
  <si>
    <t>Trigo Bom</t>
  </si>
  <si>
    <t>Uber* Trip</t>
  </si>
  <si>
    <t>Maguila</t>
  </si>
  <si>
    <t>UOL Cursos Tecnologia Educacio PROCESSADO POR ADYE - 2/2</t>
  </si>
  <si>
    <t>UOL Cursos Tecnologia Educacio PROCESSADO POR ADYE - 2/3</t>
  </si>
  <si>
    <t>Youcom Fl - Parcela 1/2</t>
  </si>
  <si>
    <t>Youcom Fl - Parcela 1/4</t>
  </si>
  <si>
    <t>Mensagem Duda</t>
  </si>
  <si>
    <t>Descrição</t>
  </si>
  <si>
    <t>Kfc: 64,00</t>
  </si>
  <si>
    <t>Feira: 60,00</t>
  </si>
  <si>
    <t>Depósito: 115,60 + 6,00</t>
  </si>
  <si>
    <t>Depósito: 34,00 + 17,00</t>
  </si>
  <si>
    <t>Foi no mesmo dia que foi comprado pastel e mercado gomes</t>
  </si>
  <si>
    <t>Gomes: 92,99</t>
  </si>
  <si>
    <t>Mercado: 93,00</t>
  </si>
  <si>
    <t>foi no mesmo dia que foi pedido KFC</t>
  </si>
  <si>
    <t>Adega: 36,00</t>
  </si>
  <si>
    <t>Pizzaria + Adega</t>
  </si>
  <si>
    <t>Resenha no Luquinhas (pizza + adega: 83,00</t>
  </si>
  <si>
    <t>Óculos Pedro: 603,00 em 6x R$100,50 (parcela 5/6)</t>
  </si>
  <si>
    <t>Dinheiro de pix: 565,95 em 5x ( Parcela 1/5 R$113,19)</t>
  </si>
  <si>
    <t>Gasolina 50,00</t>
  </si>
  <si>
    <t>Gasolina: 70,00</t>
  </si>
  <si>
    <t>Óleo do carro 380,00 em 2x (R$190,00)</t>
  </si>
  <si>
    <t>Swifti: 349,00</t>
  </si>
  <si>
    <t>Gympass: 89,90</t>
  </si>
  <si>
    <t>Indicado na mensagem</t>
  </si>
  <si>
    <t>faltante + 32,50 resenha ontem</t>
  </si>
  <si>
    <t>Total final:</t>
  </si>
  <si>
    <t>the best baterias - 2/3</t>
  </si>
  <si>
    <t>cartão vi</t>
  </si>
  <si>
    <t>sodimac - 1/5</t>
  </si>
  <si>
    <t>total</t>
  </si>
  <si>
    <t>próxima fatura vitória</t>
  </si>
  <si>
    <t>Saldo + Recebimentos</t>
  </si>
  <si>
    <t>Carrefour Gasolina Carro</t>
  </si>
  <si>
    <t>Centro Automotivo Psx5 - Parcela 3/3</t>
  </si>
  <si>
    <t>Rdsaude Online - Parcela 3/3</t>
  </si>
  <si>
    <t>Salário dia 15</t>
  </si>
  <si>
    <t>Carrefour fogão - Parcela 10/10</t>
  </si>
  <si>
    <t>Salário dia 30</t>
  </si>
  <si>
    <t>Kabum Cadeira escritório - Parcela 9/10</t>
  </si>
  <si>
    <t>LG TV nova - Parcela 7/12</t>
  </si>
  <si>
    <t>Mercadolivre*Lojasopr - Parcela 2/2</t>
  </si>
  <si>
    <t>Cartão Nubank Lucas</t>
  </si>
  <si>
    <t>Acai Conecta</t>
  </si>
  <si>
    <t>Carrefour Anchieta petz - Parcela 2/2</t>
  </si>
  <si>
    <t>Centro Medico Veterina - Parcela 2/2</t>
  </si>
  <si>
    <t>Total outras pessoas</t>
  </si>
  <si>
    <t>Dell - Parcela 3/6</t>
  </si>
  <si>
    <t>Cartão Nubank Vitória</t>
  </si>
  <si>
    <t>Pedro Henrique Afonso de Camargo - 3/5</t>
  </si>
  <si>
    <t>Postomariaestela Pedro - Parcela 2/2</t>
  </si>
  <si>
    <t>Wender - 1/2</t>
  </si>
  <si>
    <t>Movida Rac Pose - Parcela 3/3</t>
  </si>
  <si>
    <t>Contas de casa Total</t>
  </si>
  <si>
    <t>Bateria Pedro - 2/2</t>
  </si>
  <si>
    <t>Airbnb * Hm8cksqf8d - Parcela 5/7</t>
  </si>
  <si>
    <t>Sodimac Pedro - 2/5</t>
  </si>
  <si>
    <t>EBW*NuViagens - NuPay - Parcela 5/12</t>
  </si>
  <si>
    <t>Caixa dos gatos Maguila</t>
  </si>
  <si>
    <t>TRANCOSO RATATUR - 2/4</t>
  </si>
  <si>
    <t>Presente Pedro Total</t>
  </si>
  <si>
    <t>Fatura real Vitória</t>
  </si>
  <si>
    <t>00052 Sh Plaza Sul - Parcela 2/2</t>
  </si>
  <si>
    <t>UOL Cursos Tecnologia Educacio PROCESSADO POR ADYE - 3/3</t>
  </si>
  <si>
    <t>Fatura real Lucas + Vitória</t>
  </si>
  <si>
    <t>Youcom Fl - Parcela 2/2</t>
  </si>
  <si>
    <t>Youcom Fl - Parcela 2/4</t>
  </si>
  <si>
    <t>Pagamentos</t>
  </si>
  <si>
    <t>Status</t>
  </si>
  <si>
    <t>Internet</t>
  </si>
  <si>
    <t>Pago</t>
  </si>
  <si>
    <t>Condomínio</t>
  </si>
  <si>
    <t>Atacadao 269 As</t>
  </si>
  <si>
    <t>C&amp;A</t>
  </si>
  <si>
    <t>Nat*Natura Pagamentos Pedro - Parcela 1/2</t>
  </si>
  <si>
    <t>Claro</t>
  </si>
  <si>
    <t>Luz</t>
  </si>
  <si>
    <t>99food *Arcos Dourados</t>
  </si>
  <si>
    <t>Faculdade mãe</t>
  </si>
  <si>
    <t>Gastos totais</t>
  </si>
  <si>
    <t>Carrefour Spa Maguila</t>
  </si>
  <si>
    <t>Saldo previsto fim do mês</t>
  </si>
  <si>
    <t>Otto Ristorante Fastfood</t>
  </si>
  <si>
    <t>Raizes da Serra Comerc Fastfood</t>
  </si>
  <si>
    <t>Cristianobenizda Pedro - Parcela 1/2</t>
  </si>
  <si>
    <t>Parcelamento de Compra - Aliexpress Controle 8bitdo Lucas - 1/2</t>
  </si>
  <si>
    <t>Mania Fashion Calcad Pedro - Parcela 1/2</t>
  </si>
  <si>
    <t>Autopostoirmaos Pedro</t>
  </si>
  <si>
    <t>Mercadolivre*Idmais</t>
  </si>
  <si>
    <t>Mp *Alissoncamarg Pedro</t>
  </si>
  <si>
    <t>99food *Miami Burger L</t>
  </si>
  <si>
    <t>Postocomaris Pedro</t>
  </si>
  <si>
    <t>Postomariaestela Carro Lucas</t>
  </si>
  <si>
    <t>99food *Outback Steakh</t>
  </si>
  <si>
    <t>Ls Sp Plaza Sul Sao Pa Pedro - Parcela 1/3</t>
  </si>
  <si>
    <t>Microsoft*Store Gamepass Lucas</t>
  </si>
  <si>
    <t>Mercado Rocha</t>
  </si>
  <si>
    <t>Ppro *Microsoft Gamepass Pedro</t>
  </si>
  <si>
    <t>ENEL DISTRIBUICAO DE SAO PAULO</t>
  </si>
  <si>
    <t>Contas de casa</t>
  </si>
  <si>
    <t>99food *44,893,898 Mil</t>
  </si>
  <si>
    <t>V L de Araujo Docuras</t>
  </si>
  <si>
    <t>Pg *Nuvem Winona Vitória - Parcela 1/3</t>
  </si>
  <si>
    <t>Mercadolivre*Mercadoli</t>
  </si>
  <si>
    <t>Adega do Pio</t>
  </si>
  <si>
    <t>Ebn *Capcut</t>
  </si>
  <si>
    <t>Mercadolivre* iPad Vitória - Parcela 1/12</t>
  </si>
  <si>
    <t>Parcelamento de Compra - Mercadolivre*Mercadol - Caneta iPad Vitória - 1/2</t>
  </si>
  <si>
    <t>Mercadolivre* Capa iPad</t>
  </si>
  <si>
    <t>Mercadolivre* Controle PS5 - Parcela 1/2</t>
  </si>
  <si>
    <t>SHPP BRASIL INSTITUICAO DE PAG - 1/2</t>
  </si>
  <si>
    <t>99food *Italin House M</t>
  </si>
  <si>
    <t>99food *Outback Burger</t>
  </si>
  <si>
    <t>Pag*Steam DSX</t>
  </si>
  <si>
    <t>Lmr Servicos de Costura - Blusa Vitória</t>
  </si>
  <si>
    <t>Posto Jirau - Burguinho Fastfood</t>
  </si>
  <si>
    <t>Leitura</t>
  </si>
  <si>
    <t>Presente Pedro</t>
  </si>
  <si>
    <t>Makibella Shop D Pedro</t>
  </si>
  <si>
    <t>Pg *Nuvem Jaspecompany Vitória - Parcela 1/2</t>
  </si>
  <si>
    <t>Carrefour 388 Carro</t>
  </si>
  <si>
    <t>Carrefour Spa Mercado</t>
  </si>
  <si>
    <t>Adega Carrefour</t>
  </si>
  <si>
    <t>Carrefour Anchieta - Parcela 1/2</t>
  </si>
  <si>
    <t>Obs</t>
  </si>
  <si>
    <t>Gasolina</t>
  </si>
  <si>
    <t>Mecânico</t>
  </si>
  <si>
    <t>Celular Vand</t>
  </si>
  <si>
    <t>Calçado Duda</t>
  </si>
  <si>
    <t>Presente Duda</t>
  </si>
  <si>
    <t>Controle 8 bit do</t>
  </si>
  <si>
    <t>Pix de 500</t>
  </si>
  <si>
    <t>Troca de óleo</t>
  </si>
  <si>
    <t>Gamepass</t>
  </si>
  <si>
    <t>Camisetas</t>
  </si>
  <si>
    <t>Gympass Duda</t>
  </si>
  <si>
    <t>Total desconsiderando celular Vand</t>
  </si>
  <si>
    <t>The Best Baterias Pedro - 3/3</t>
  </si>
  <si>
    <t>Total Cartão Lukinhas + Vitória</t>
  </si>
  <si>
    <t>Total Cartão Lukinhas + Vitória (desconsiderando celular Vand)</t>
  </si>
  <si>
    <t>Parcelamento de Compra - Mercadolivre*Mercadol - Caneta iPad Vitória - 2/2</t>
  </si>
  <si>
    <t>Ls Sp Plaza Sul Sao Pa Pedro - Parcela 2/3</t>
  </si>
  <si>
    <t>Vander</t>
  </si>
  <si>
    <t>TRANCOSO RATATUR - 3/4</t>
  </si>
  <si>
    <t>Parcelamento de Compra - Mercadolivre*Gprime - Controle PS5 - 2/2</t>
  </si>
  <si>
    <t>SHPP BRASIL INSTITUICAO DE PAG - 2/2 - 38,43 Pedro</t>
  </si>
  <si>
    <t>PH e Lucas</t>
  </si>
  <si>
    <t>LG TV nova - Parcela 8/12</t>
  </si>
  <si>
    <t>13o salario</t>
  </si>
  <si>
    <t>Vander Total</t>
  </si>
  <si>
    <t>Cristianobenizda Pedro - Parcela 2/2</t>
  </si>
  <si>
    <t>Dell - Parcela 4/6</t>
  </si>
  <si>
    <t>PH e Lucas Total</t>
  </si>
  <si>
    <t>Pedro Henrique Afonso de Camargo - 4/5</t>
  </si>
  <si>
    <t>EBW*NuViagens - NuPay - Parcela 6/12</t>
  </si>
  <si>
    <t>Youcom Fl - Parcela 3/4</t>
  </si>
  <si>
    <t>Pg *Nuvem Winona Vitória - Parcela 2/3</t>
  </si>
  <si>
    <t>Pedro Poker</t>
  </si>
  <si>
    <t>Parcelamento de Compra - Aliexpress Controle 8bitdo Lucas - 2/2</t>
  </si>
  <si>
    <t>Pedro Sushi</t>
  </si>
  <si>
    <t>Pedro Adega</t>
  </si>
  <si>
    <t>Pedro Camisetas Stranger</t>
  </si>
  <si>
    <t>Nat*Natura Pagamentos Pedro - Parcela 2/2</t>
  </si>
  <si>
    <t>Mercadolivre* iPad Vitória - Parcela 2/12</t>
  </si>
  <si>
    <t>Kabum Cadeira escritório - Parcela 10/10</t>
  </si>
  <si>
    <t>Total Pedro</t>
  </si>
  <si>
    <t>Airbnb * Hm8cksqf8d - Parcela 6/7</t>
  </si>
  <si>
    <t>Cartório Total</t>
  </si>
  <si>
    <t>Mania Fashion Calcad Pedro - Parcela 2/2</t>
  </si>
  <si>
    <t>Viagem Adega Total</t>
  </si>
  <si>
    <t>Pg *Nuvem Jaspecompany Vitória - Parcela 2/2</t>
  </si>
  <si>
    <t>Presente Sthe Total</t>
  </si>
  <si>
    <t>Mercadolivre*Mercadol - Parcela 1/10</t>
  </si>
  <si>
    <t>Canais Dark Total</t>
  </si>
  <si>
    <t>Wender - 2/2</t>
  </si>
  <si>
    <t>Mmsconviniencia - 35 Pedro</t>
  </si>
  <si>
    <t>Farmacia Total</t>
  </si>
  <si>
    <t>Sodimac Pedro - 3/5</t>
  </si>
  <si>
    <t>Não identificado Total</t>
  </si>
  <si>
    <t>Panificadora Nova Prin</t>
  </si>
  <si>
    <t>Futebol Total</t>
  </si>
  <si>
    <t>99food *Madero Industr</t>
  </si>
  <si>
    <t>99food *Miami Burger Pedro</t>
  </si>
  <si>
    <t>Mp *Miamiburger</t>
  </si>
  <si>
    <t>Jim.Com* Adega Imperi</t>
  </si>
  <si>
    <t>Mercadinho Jequitibas</t>
  </si>
  <si>
    <t>Carrefour Anchieta Pedro - Parcela 1/2</t>
  </si>
  <si>
    <t>99food *Danilo Rodrigu</t>
  </si>
  <si>
    <t>Drogaria Carrefour Dan</t>
  </si>
  <si>
    <t>Carrefour Anchieta Petz Pedro - Parcela 1/12</t>
  </si>
  <si>
    <t>Carrefour Spa - 74,09 Pedro</t>
  </si>
  <si>
    <t>Cotton On - Shopping</t>
  </si>
  <si>
    <t>Presente Sthe</t>
  </si>
  <si>
    <t>Mp *Mercadoeacougueroc</t>
  </si>
  <si>
    <t>Grupo Leone Comercio D</t>
  </si>
  <si>
    <t>Tabacaria Carrefour</t>
  </si>
  <si>
    <t>Sport Center Lanchonet</t>
  </si>
  <si>
    <t>Futebol</t>
  </si>
  <si>
    <t>Netflix.Com</t>
  </si>
  <si>
    <t>Nuuvem *Nuuvem - Parcela 1/3</t>
  </si>
  <si>
    <t>99food *44.892.898 Mil</t>
  </si>
  <si>
    <t>Assinatura HBO Max desconto Nubank</t>
  </si>
  <si>
    <t>Mmsconviniencia - 72,70 Pedro</t>
  </si>
  <si>
    <t>Stefe Bijouteria</t>
  </si>
  <si>
    <t>Msk Pasteis</t>
  </si>
  <si>
    <t>Autopostoirmaos</t>
  </si>
  <si>
    <t>Raia231 - Parcela 1/2</t>
  </si>
  <si>
    <t>Swift Bosque da Saud</t>
  </si>
  <si>
    <t>Nuuvem *Nuuvem Pedro - Parcela 1/3</t>
  </si>
  <si>
    <t>Adega do Pio - cervejas</t>
  </si>
  <si>
    <t>Uber Uber *Trip Help.U</t>
  </si>
  <si>
    <t>Adega do Pio - 47 Pedro</t>
  </si>
  <si>
    <t>Pedro Henrique Afonso de Camargo</t>
  </si>
  <si>
    <t>99food *Paola Morando</t>
  </si>
  <si>
    <t>99food *60.875.645 Jes</t>
  </si>
  <si>
    <t>CAVE CODE</t>
  </si>
  <si>
    <t>Canais Dark</t>
  </si>
  <si>
    <t>Mercadolivre*Mercadol - Pedro</t>
  </si>
  <si>
    <t>Carrefour Anchieta - Petz Lucas</t>
  </si>
  <si>
    <t>Dia Brasil Lj</t>
  </si>
  <si>
    <t>Restaurante Bom Temper</t>
  </si>
  <si>
    <t>Amazon Pedro</t>
  </si>
  <si>
    <t>Mercado Ekonomix</t>
  </si>
  <si>
    <t>OFICIAL DE REGISTRO CIVIL DAS PESSOAS NATURAIS DO 42 SUBDISTRITO - JABAQUARA DA COMARCA DA CAPITAL - SP</t>
  </si>
  <si>
    <t>Cartório</t>
  </si>
  <si>
    <t>99food *Zamp S.A.</t>
  </si>
  <si>
    <t>OFICIAL DE REGISTRO CIVIL DAS PESSOAS NATURAIS 18 SUBDISTRITO</t>
  </si>
  <si>
    <t>Oxxo Ibititowers</t>
  </si>
  <si>
    <t>Helios Chaveiro</t>
  </si>
  <si>
    <t>Rcv Estacionamento</t>
  </si>
  <si>
    <t>Mp *Altashoras</t>
  </si>
  <si>
    <t>Karinedeoliveira - Pedro</t>
  </si>
  <si>
    <t>Goya Ipiranga - Pedro</t>
  </si>
  <si>
    <t>Adriana Vieira de Mora</t>
  </si>
  <si>
    <t>Marcinha Mini Mercado</t>
  </si>
  <si>
    <t>Mp *Lamerkparfum</t>
  </si>
  <si>
    <t>Não identificado</t>
  </si>
  <si>
    <t>Plaza Sul</t>
  </si>
  <si>
    <t>Mercadolivre*Mercadol - Poker - Parcela 1/3</t>
  </si>
  <si>
    <t>Prato Favorito Anchiet</t>
  </si>
  <si>
    <t>NuTag*EJL0D85</t>
  </si>
  <si>
    <t>Allexiakotrine</t>
  </si>
  <si>
    <t>Mp *Vini - suporte celular</t>
  </si>
  <si>
    <t>Ponto da Esfiha M</t>
  </si>
  <si>
    <t>G B Sp Comercio de - Parcela 1/6</t>
  </si>
  <si>
    <t>Ajr Radiadores e Ar Co - Parcela 1/3</t>
  </si>
  <si>
    <t>Parcelamento de compra Bethtabacariae - Parcela 1/3</t>
  </si>
  <si>
    <t>Viagem Adega</t>
  </si>
  <si>
    <t>Obs2</t>
  </si>
  <si>
    <t>Notebook</t>
  </si>
  <si>
    <t>Pix no crédito</t>
  </si>
  <si>
    <t>Presente amiga Duda</t>
  </si>
  <si>
    <t>Sushi (valor que ficou da divisão total)</t>
  </si>
  <si>
    <t>PH e Duda</t>
  </si>
  <si>
    <t>dividido em 3</t>
  </si>
  <si>
    <t>dividido em 2</t>
  </si>
  <si>
    <t>Total dividido em 2</t>
  </si>
  <si>
    <t>Kiskonofre - Quiosque</t>
  </si>
  <si>
    <t>Caraguá</t>
  </si>
  <si>
    <t>Adega Bebs Tudo</t>
  </si>
  <si>
    <t>Cybercomp - Sorveteria</t>
  </si>
  <si>
    <t>Dell - Parcela 5/6</t>
  </si>
  <si>
    <t>Nuuvem *Nuuvem - Parcela 2/3</t>
  </si>
  <si>
    <t>Caraguá Total</t>
  </si>
  <si>
    <t>TRANCOSO RATATUR - 4/4</t>
  </si>
  <si>
    <t>Viagem passeios</t>
  </si>
  <si>
    <t>Wander Total</t>
  </si>
  <si>
    <t>Ajr Radiadores e Ar Co - Parcela 2/3</t>
  </si>
  <si>
    <t>Mercadolivre* iPad Vitória - Parcela 3/12</t>
  </si>
  <si>
    <t>Parcelamento de Compra - Bethtabacariae - 2/3</t>
  </si>
  <si>
    <t>Domquixote</t>
  </si>
  <si>
    <t>Pedro Henrique Afonso de Camargo - 5/5</t>
  </si>
  <si>
    <t>Viagem Pedro</t>
  </si>
  <si>
    <t>EBW*NuViagens - NuPay - Parcela 7/12</t>
  </si>
  <si>
    <t>Viagem passagem</t>
  </si>
  <si>
    <t>FDS no Wand (parte pedro)</t>
  </si>
  <si>
    <t>Canal Dark (parte pedro)</t>
  </si>
  <si>
    <t>Raia231 - Parcela 2/2</t>
  </si>
  <si>
    <t>Wander</t>
  </si>
  <si>
    <t>Airbnb * Hm8cksqf8d - Parcela 7/7</t>
  </si>
  <si>
    <t>Canal Dark Total</t>
  </si>
  <si>
    <t>Mercadolivre*Mercadol - Note Pedro - Parcela 2/10</t>
  </si>
  <si>
    <t>Viagem Manu</t>
  </si>
  <si>
    <t>1 CART REG PES NATURAIS SE - 2/2</t>
  </si>
  <si>
    <t>LG TV nova - Parcela 9/12</t>
  </si>
  <si>
    <t>Viagem passagem Total</t>
  </si>
  <si>
    <t>Carrefour Anchieta Pedro - Parcela 2/2</t>
  </si>
  <si>
    <t>Viagem passeios Total</t>
  </si>
  <si>
    <t>Nuuvem *Nuuvem Pedro - Parcela 2/3</t>
  </si>
  <si>
    <t>G B Sp Comercio de - Pneus Carro - Parcela 2/6</t>
  </si>
  <si>
    <t>Youcom Fl - Parcela 4/4</t>
  </si>
  <si>
    <t>Sodimac Pedro - 4/5</t>
  </si>
  <si>
    <t>Carrefour Anchieta Petz Pedro - Parcela 2/12</t>
  </si>
  <si>
    <t>Ls Sp Plaza Sul Sao Pa Pedro - Parcela 3/3</t>
  </si>
  <si>
    <t>Mercadolivre*Mercadol - Poker - Parcela 2/3</t>
  </si>
  <si>
    <t>Billy Bruto Hamburguer</t>
  </si>
  <si>
    <t>Jr Ribeiro da Silva A - Açougue</t>
  </si>
  <si>
    <t>Hortifruti</t>
  </si>
  <si>
    <t>Gs Drogaria</t>
  </si>
  <si>
    <t>Comercial Peck de Alim - Mercado</t>
  </si>
  <si>
    <t>Comercial Peck de Alim</t>
  </si>
  <si>
    <t>Bar da Praia Martim de</t>
  </si>
  <si>
    <t>R R Sorvetes Filial</t>
  </si>
  <si>
    <t>Gs Drogaria - creme duda</t>
  </si>
  <si>
    <t>Jurandirgarcia</t>
  </si>
  <si>
    <t>Barracadatata</t>
  </si>
  <si>
    <t>Mp *Fell</t>
  </si>
  <si>
    <t>Bare Auto Posto</t>
  </si>
  <si>
    <t>Quiosque do Expedito</t>
  </si>
  <si>
    <t>Estefanidesouzasi</t>
  </si>
  <si>
    <t>Mercado Boa Vista de C</t>
  </si>
  <si>
    <t>Quiosque Jamaica</t>
  </si>
  <si>
    <t>Crédito de parcelamento de compra</t>
  </si>
  <si>
    <t>Parcelamento de Compra - Jurandirgarcia - 1/3</t>
  </si>
  <si>
    <t>Parcelamento de Compra - Cybercomp - Sorveteria - 1/3</t>
  </si>
  <si>
    <t>Farmacondeloja711</t>
  </si>
  <si>
    <t>Parcelamento de Compra - Comercial Peck de Alim - 1/3</t>
  </si>
  <si>
    <t>Parcelamento de Compra - Adega Bebs Tudo - 1/3</t>
  </si>
  <si>
    <t>Parcelamento de Compra - Bar da Praia Martim de - 1/3</t>
  </si>
  <si>
    <t>Parcelamento de Compra - Comercial Peck de Alim - Mercado - 1/3</t>
  </si>
  <si>
    <t>Parcelamento de Compra - Hortifruti - 1/3</t>
  </si>
  <si>
    <t>Parcelamento de Compra - Billy Bruto Hamburguer - 1/3</t>
  </si>
  <si>
    <t>Parcelamento de Compra - Domquixote - 1/3</t>
  </si>
  <si>
    <t>Parcelamento de Compra - Mp *Fell - 1/3</t>
  </si>
  <si>
    <t>Canal Dark</t>
  </si>
  <si>
    <t>Parcelamento de Compra - Kiskonofre - Quiosque - 1/3</t>
  </si>
  <si>
    <t>Mayara Kalikian</t>
  </si>
  <si>
    <t>Parcelamento de Compra - Jr Ribeiro da Silva A - Açougue - 1/3</t>
  </si>
  <si>
    <t>Parcelamento de Compra - Barracadatata - 1/3</t>
  </si>
  <si>
    <t>Netflix Entretenimento</t>
  </si>
  <si>
    <t>Parcelamento de Compra - Mercado Boa Vista de C - 1/3</t>
  </si>
  <si>
    <t>Parcelamento de Compra - Quiosque Jamaica - 1/3</t>
  </si>
  <si>
    <t>Parcelamento de Compra - Posto Tancredo Neves - 1/3</t>
  </si>
  <si>
    <t>Parcelamento de Compra - Quiosque do Expedito - 1/3</t>
  </si>
  <si>
    <t>Eduardohiroshi</t>
  </si>
  <si>
    <t>Parcelamento de Compra - Bare Auto Posto - 1/3</t>
  </si>
  <si>
    <t>Parcelamento de Compra - Estefanidesouzasi - 1/3</t>
  </si>
  <si>
    <t>Carrefour Anchieta - Pedro</t>
  </si>
  <si>
    <t>Petz Carrefour Imigran - Parcela 1/2</t>
  </si>
  <si>
    <t>Carrefour Spa - Petz Pedro</t>
  </si>
  <si>
    <t>Null - adega carrefour</t>
  </si>
  <si>
    <t>Plaza Sul - Starbucks</t>
  </si>
  <si>
    <t>Carrefour 388 Pan</t>
  </si>
  <si>
    <t>Alessandronicotra - sorvete</t>
  </si>
  <si>
    <t>Tennessee Taboao Carn</t>
  </si>
  <si>
    <t>IOF de compra internacional</t>
  </si>
  <si>
    <t>Ajuste a crédito</t>
  </si>
  <si>
    <t>Xai Llc - API GROK</t>
  </si>
  <si>
    <t>Seiki - GOYA Vitória</t>
  </si>
  <si>
    <t>Thiagogomesdasilv - gás Pedro</t>
  </si>
  <si>
    <t>Adriana Vieira de Mora - Pedro</t>
  </si>
  <si>
    <t>Mmsconviniencia - adega</t>
  </si>
  <si>
    <t>Wellhub Gympass Br Wel</t>
  </si>
  <si>
    <t>Alessandronicotra</t>
  </si>
  <si>
    <t>Postomariaestela - aditivo celta</t>
  </si>
  <si>
    <t>Gersonmassahiroos</t>
  </si>
  <si>
    <t>Hortifruti Ml Ii</t>
  </si>
  <si>
    <t>Daiso Brasil</t>
  </si>
  <si>
    <t>Sp Mega Sh Plaza Sul</t>
  </si>
  <si>
    <t>99food *Italin House V</t>
  </si>
  <si>
    <t>Barao Lanches</t>
  </si>
  <si>
    <t>Drogaria Maximed Tabo</t>
  </si>
  <si>
    <t>Carrefour 388 Pan - carro</t>
  </si>
  <si>
    <t>Postomariaestela - Pedro</t>
  </si>
  <si>
    <t>Null - adega</t>
  </si>
  <si>
    <t>99food *la Belle Doces</t>
  </si>
  <si>
    <t>99food *Point do Gord</t>
  </si>
  <si>
    <t>Gomes Minimercado - Pedro</t>
  </si>
  <si>
    <t>Postocomaris - Pedro</t>
  </si>
  <si>
    <t>Mmsconviniencia - adega metade pedro</t>
  </si>
  <si>
    <t>Mercadinho Jd Botucatu - RL games</t>
  </si>
  <si>
    <t>Mp *Lamerkparfum - Pedro</t>
  </si>
  <si>
    <t>Parcela 1/3 da viagem</t>
  </si>
  <si>
    <t>Açougue</t>
  </si>
  <si>
    <t>Domingo: Adega R$ 37 - dividido em 2 = R$ 18,50
Sábado: Pizza R$ 215 - divididos em 3 = R$ 71 
Adega R$ 108 (sem contar o fogareiro de 35) = 73,00 dividido em 2 = 36,50 + 35 (fogareiro) = 71,50
Sexta: Adega R$ 56,50 - dividido em 2 = R$28,25
Total = 186,25</t>
  </si>
  <si>
    <t>Darkvi + Grop API + Capcut de Dezembro e Janeiro</t>
  </si>
  <si>
    <t>Gympass</t>
  </si>
  <si>
    <t>Pix dia que o cartão da Ste não passou</t>
  </si>
  <si>
    <t>Não encontrei descrição, só vi que foi no cartão físico em 24/01 às 14:50</t>
  </si>
  <si>
    <t>Total R$ 91,50 dividido em 2 = 45,75</t>
  </si>
  <si>
    <t>Não encontrei descrição, só vi que foi no cartão físico em 18/01 às 19h46</t>
  </si>
  <si>
    <t>Não encontrei descrição, só vi que foi no cartão físico em 03/01 às 19h45</t>
  </si>
  <si>
    <t>Não encontrei descrição, acho que é o mercado do lado da casa</t>
  </si>
  <si>
    <t>Mercado lado da casa</t>
  </si>
  <si>
    <t>Água (dia da entrega da cama)</t>
  </si>
  <si>
    <t>Dell - Parcela 6/6</t>
  </si>
  <si>
    <t>Mercadolivre*Mercadol - Note Pedro - Parcela 3/10</t>
  </si>
  <si>
    <t>LG TV nova - Parcela 10/12</t>
  </si>
  <si>
    <t>Mercadolivre* iPad Vitória - Parcela 4/12</t>
  </si>
  <si>
    <t>Ajr Radiadores e Ar Co - Parcela 3/3</t>
  </si>
  <si>
    <t>EBW*NuViagens - NuPay - Parcela 8/12</t>
  </si>
  <si>
    <t>Viagem passaem</t>
  </si>
  <si>
    <t>Parcelamento de Compra - Adega Bebs Tudo - 2/3</t>
  </si>
  <si>
    <t>Compra Bragança Total</t>
  </si>
  <si>
    <t>Parcelamento de Compra - Bethtabacariae - 3/3</t>
  </si>
  <si>
    <t>Parcelamento de Compra - Quiosque do Expedito - 2/3</t>
  </si>
  <si>
    <t>Parcelamento de Compra - Domquixote - 2/3</t>
  </si>
  <si>
    <t>Petz Carrefour Imigran - Parcela 2/2</t>
  </si>
  <si>
    <t>Parcelamento de Compra - Billy Bruto Hamburguer - 2/3</t>
  </si>
  <si>
    <t>Parcelamento de Compra - Comercial Peck de Alim - Mercado - 2/3</t>
  </si>
  <si>
    <t>Canal Dark Pedro</t>
  </si>
  <si>
    <t>G B Sp Comercio de - Pneus Carro - Parcela 3/6</t>
  </si>
  <si>
    <t>Sofá Total</t>
  </si>
  <si>
    <t>Pedro e Lucas</t>
  </si>
  <si>
    <t>Parcelamento de Compra - Posto Tancredo Neves - 2/3</t>
  </si>
  <si>
    <t>Pedro e Lucas - Março Total</t>
  </si>
  <si>
    <t>Mercadolivre*Mercadol - Poker - Parcela 3/3</t>
  </si>
  <si>
    <t>Canal Dark Zeus e Bruno</t>
  </si>
  <si>
    <t>Vacina Vitória Total</t>
  </si>
  <si>
    <t>Parcelamento de Compra - Bare Auto Posto - 2/3</t>
  </si>
  <si>
    <t>Parcelamento de Compra - Comercial Peck de Alim - 2/3</t>
  </si>
  <si>
    <t>Parcelamento de Compra - Barracadatata - 2/3</t>
  </si>
  <si>
    <t>Role despedida Total</t>
  </si>
  <si>
    <t>Sodimac Pedro - 5/5</t>
  </si>
  <si>
    <t>Parcelamento de Compra - Bar da Praia Martim de - 2/3</t>
  </si>
  <si>
    <t>Pedro e Lucas Total</t>
  </si>
  <si>
    <t>Nuuvem *Nuuvem Pedro - Parcela 3/3</t>
  </si>
  <si>
    <t>Viagem passaem Total</t>
  </si>
  <si>
    <t>Nuuvem *Nuuvem - Parcela 3/3</t>
  </si>
  <si>
    <t>Pedro - Março Total</t>
  </si>
  <si>
    <t>Keeta - Pedro</t>
  </si>
  <si>
    <t>Comida Aniversário Total</t>
  </si>
  <si>
    <t>Sorveteria Total</t>
  </si>
  <si>
    <t>Cabeleireiro Total</t>
  </si>
  <si>
    <t>Parcelamento de Compra - Mp *Fell - 2/3</t>
  </si>
  <si>
    <t>Bolo Bragança Total</t>
  </si>
  <si>
    <t>Parcelamento de Compra - Kiskonofre - Quiosque - 2/3</t>
  </si>
  <si>
    <t>Documentos Total</t>
  </si>
  <si>
    <t>Uber Total</t>
  </si>
  <si>
    <t>Parcelamento de Compra - Cybercomp - Sorveteria - 2/3</t>
  </si>
  <si>
    <t>Shopping Total</t>
  </si>
  <si>
    <t>Mudança Total</t>
  </si>
  <si>
    <t>Parcelamento de Compra - Jurandirgarcia - 2/3</t>
  </si>
  <si>
    <t>Parcelamento de Compra - Quiosque Jamaica - 2/3</t>
  </si>
  <si>
    <t>Parcelamento de Compra - Estefanidesouzasi - 2/3</t>
  </si>
  <si>
    <t>Parcelamento de Compra - Hortifruti - 2/3</t>
  </si>
  <si>
    <t>Parcelamento de Compra - Mercado Boa Vista de C - 2/3</t>
  </si>
  <si>
    <t>Parcelamento de Compra - Jr Ribeiro da Silva A - Açougue - 2/3</t>
  </si>
  <si>
    <t>Carrefour Anchieta Petz Pedro - Parcela 3/12</t>
  </si>
  <si>
    <t>Carrefour - Adega</t>
  </si>
  <si>
    <t>99food *Ital In House</t>
  </si>
  <si>
    <t>Monica - espetos</t>
  </si>
  <si>
    <t>Asa*Cave Code Desenvol</t>
  </si>
  <si>
    <t>Zul 2 Cartoes 1vyttp</t>
  </si>
  <si>
    <t>Documentos</t>
  </si>
  <si>
    <t>Dia</t>
  </si>
  <si>
    <t>Zul 1 Cartao 1w19w5</t>
  </si>
  <si>
    <t>Fhoto Bazar Nova Se</t>
  </si>
  <si>
    <t>Acquacel Celulares - Pedro</t>
  </si>
  <si>
    <t>Mp *Valcam - Carro mecânico</t>
  </si>
  <si>
    <t>Trigo Bom Paes Doce</t>
  </si>
  <si>
    <t>Uber Uber * Pending</t>
  </si>
  <si>
    <t>Mudança</t>
  </si>
  <si>
    <t>Pg *Pare Azul Pareazul</t>
  </si>
  <si>
    <t>Pizzaria Dona Firmina - Pedro</t>
  </si>
  <si>
    <t>Ab Ice Creams e Acai L - Pedro</t>
  </si>
  <si>
    <t>Uber</t>
  </si>
  <si>
    <t>Autopostoirmaos - Pedro</t>
  </si>
  <si>
    <t>Mmsconviniencia - Pedro</t>
  </si>
  <si>
    <t>Mercadolivre*3produto</t>
  </si>
  <si>
    <t>Centro Medico Veterina - Pedro</t>
  </si>
  <si>
    <t>Mercadolivre*3produto - Parcela 1/2</t>
  </si>
  <si>
    <t>Carrefour - Carro</t>
  </si>
  <si>
    <t>Petz - Gatos - Parcela 1/2</t>
  </si>
  <si>
    <t>Mmsconviniencia - Adega Pedro</t>
  </si>
  <si>
    <t>Null - Adega</t>
  </si>
  <si>
    <t>Cristal - bolsa vitória</t>
  </si>
  <si>
    <t>Uber - Pedro</t>
  </si>
  <si>
    <t>Mp *Easyoilbr - Velas Celta - Parcela 1/2</t>
  </si>
  <si>
    <t>Chiquinho Sorvetes</t>
  </si>
  <si>
    <t>Carrefour - Pedro</t>
  </si>
  <si>
    <t>Si Senor</t>
  </si>
  <si>
    <t>Ifd*Cursi e Albieri Co</t>
  </si>
  <si>
    <t>Mp *Valcam - Parcela 1/2</t>
  </si>
  <si>
    <t>Amazon - Parcela 1/5</t>
  </si>
  <si>
    <t>63541018william</t>
  </si>
  <si>
    <t>Raia231</t>
  </si>
  <si>
    <t>Central de Variedades</t>
  </si>
  <si>
    <t>Compra Bragança</t>
  </si>
  <si>
    <t>Role despedida</t>
  </si>
  <si>
    <t>Mercadolivre*3produtos</t>
  </si>
  <si>
    <t>Uniao Comercio Atacad</t>
  </si>
  <si>
    <t>Shopping da Utilidade</t>
  </si>
  <si>
    <t>Havan Braganca Paulist - Parcela 1/2</t>
  </si>
  <si>
    <t>Kee*Miami Burger</t>
  </si>
  <si>
    <t>Pedro - Março</t>
  </si>
  <si>
    <t>Tasca</t>
  </si>
  <si>
    <t>Mercadao Supermercados</t>
  </si>
  <si>
    <t>Ebn*Capcut - 1/3 Pedro e 1/3 Siqueto</t>
  </si>
  <si>
    <t>Mr. Ice</t>
  </si>
  <si>
    <t>Mobly Comercio Varejis - Parcela 1/10</t>
  </si>
  <si>
    <t>Sofá</t>
  </si>
  <si>
    <t>Swift Braganca Paulis</t>
  </si>
  <si>
    <t>Varejao Kifruta</t>
  </si>
  <si>
    <t>Telhanorte - Braganca</t>
  </si>
  <si>
    <t>G P Baptista</t>
  </si>
  <si>
    <t>Rmdegodoi</t>
  </si>
  <si>
    <t>Fevereiro</t>
  </si>
  <si>
    <t>Bolo Bragança</t>
  </si>
  <si>
    <t>Sm Supermercados Mendo</t>
  </si>
  <si>
    <t>Jdaguas</t>
  </si>
  <si>
    <t>Dona Baunilha Atibaia</t>
  </si>
  <si>
    <t>Comida Aniversário</t>
  </si>
  <si>
    <t>Hh Saude</t>
  </si>
  <si>
    <t>Vacina Vitória</t>
  </si>
  <si>
    <t>Puro Cioccolato</t>
  </si>
  <si>
    <t>Piza Zero Zero</t>
  </si>
  <si>
    <t>Kee*Miami Burger - Metade</t>
  </si>
  <si>
    <t>Camilasayuri - pasteis</t>
  </si>
  <si>
    <t>Zae Braganca</t>
  </si>
  <si>
    <t>Mp *Novaera</t>
  </si>
  <si>
    <t>Pedro e Lucas - Março</t>
  </si>
  <si>
    <t>Joseaparecido</t>
  </si>
  <si>
    <t>Shopping</t>
  </si>
  <si>
    <t>Irmaos Russi</t>
  </si>
  <si>
    <t>Panificadora Bolini</t>
  </si>
  <si>
    <t>Administradora</t>
  </si>
  <si>
    <t>Jim.Com* 35648572 Gab</t>
  </si>
  <si>
    <t>Cabeleireiro</t>
  </si>
  <si>
    <t>Acai Mr Ice</t>
  </si>
  <si>
    <t>Sorveteria</t>
  </si>
  <si>
    <t>Rede Bazzar Atibaia Ei</t>
  </si>
  <si>
    <t>Centro Comercial Aveni</t>
  </si>
  <si>
    <t>Churras Express - Metade Pedro e Duda</t>
  </si>
  <si>
    <t>Lucas e Pedro</t>
  </si>
  <si>
    <t>Outback Plaza Sul</t>
  </si>
  <si>
    <t>Mp *Luh</t>
  </si>
  <si>
    <t>Progressiva</t>
  </si>
  <si>
    <t>Gasolina Total</t>
  </si>
  <si>
    <t>Sodimac Parcela 5/5</t>
  </si>
  <si>
    <t>Riachuelo-Sp Parcela 1/3</t>
  </si>
  <si>
    <t>Compras</t>
  </si>
  <si>
    <t>Compras Total</t>
  </si>
  <si>
    <t>Resenha meninas</t>
  </si>
  <si>
    <t>iFood</t>
  </si>
  <si>
    <t>Lucas e Pedro Total</t>
  </si>
  <si>
    <t>Cobasi Comercio de Pro</t>
  </si>
  <si>
    <t>Lojas Renner Fl Parcela 1/2</t>
  </si>
  <si>
    <t>Progressiva Total</t>
  </si>
  <si>
    <t>Flnc Cursos Digitais Parcela 4/12</t>
  </si>
  <si>
    <t>Curso</t>
  </si>
  <si>
    <t xml:space="preserve">TIM S A </t>
  </si>
  <si>
    <t>Celular</t>
  </si>
  <si>
    <t>Curso Total</t>
  </si>
  <si>
    <t>Amazon Parcela 10/12</t>
  </si>
  <si>
    <t>Celular Total</t>
  </si>
  <si>
    <t>Naroltda</t>
  </si>
  <si>
    <t>Sbscrestaurante</t>
  </si>
  <si>
    <t>KeetaBR</t>
  </si>
  <si>
    <t>Gran Educacao Parcela 8/12</t>
  </si>
  <si>
    <t>Formatura Lucas Parcela 4/10</t>
  </si>
  <si>
    <t>04 FEV Applecombill</t>
  </si>
  <si>
    <t>Alemagri Petshop</t>
  </si>
  <si>
    <t>A B B Comercio de Pr</t>
  </si>
  <si>
    <t>03 FEV Applecombill</t>
  </si>
  <si>
    <t>Tatiana Cristina Alves</t>
  </si>
  <si>
    <t>Sandraregina</t>
  </si>
  <si>
    <t>Assinatura Petz</t>
  </si>
  <si>
    <t>Parcela 2/3 da viagem</t>
  </si>
  <si>
    <t>Darkvi renovado 29/01</t>
  </si>
  <si>
    <t>Total 150 / 4 = 37,50</t>
  </si>
  <si>
    <t>Acho que carregador Duda</t>
  </si>
  <si>
    <t>Kee*Miami Burger - Metade de 89,75</t>
  </si>
  <si>
    <t>Não encontrei descrição, só vi que foi no cartão físico em 01/02 às 16:32</t>
  </si>
  <si>
    <t>Max vacinas</t>
  </si>
  <si>
    <t>Uber Duda</t>
  </si>
  <si>
    <t>Acho que cílios Duda</t>
  </si>
  <si>
    <t>Air Fryer presente</t>
  </si>
  <si>
    <t>Camilasayuri - pasteis metade de 60,00</t>
  </si>
  <si>
    <t>Acho que foi no pastel, talvez as bebidas pq foi no sábao 08:11</t>
  </si>
  <si>
    <t>Total 65,90 / 3 = 21,97</t>
  </si>
  <si>
    <t>valor correto (alguns são metade)</t>
  </si>
  <si>
    <t>Mp *Novaera - Tabacaria</t>
  </si>
  <si>
    <t>Joseaparecido - Pastel</t>
  </si>
  <si>
    <t>Irmaos Russi - Mercado ketchup e coca</t>
  </si>
  <si>
    <t>Administradora - Estacionamento Shopping</t>
  </si>
  <si>
    <t>Cartão Vitória</t>
  </si>
  <si>
    <t>Mobly Comercio Varejis - Parcela 2/10</t>
  </si>
  <si>
    <t>Mercadolivre*Mercadol - Note Pedro - Parcela 4/10</t>
  </si>
  <si>
    <t>Mp *Valcam - Parcela 2/2</t>
  </si>
  <si>
    <t>LG TV nova - Parcela 11/12</t>
  </si>
  <si>
    <t>Mercadolivre* iPad Vitória - Parcela 5/12</t>
  </si>
  <si>
    <t>Aluguel Total</t>
  </si>
  <si>
    <t>EBW*NuViagens - NuPay - Parcela 9/12</t>
  </si>
  <si>
    <t>Parcelamento de Compra - Adega Bebs Tudo - 3/3</t>
  </si>
  <si>
    <t>PLR</t>
  </si>
  <si>
    <t>Parcelamento de Compra - Quiosque do Expedito - 3/3</t>
  </si>
  <si>
    <t>Parcelamento de Compra - Domquixote - 3/3</t>
  </si>
  <si>
    <t>Parcelamento de Compra - Billy Bruto Hamburguer - 3/3</t>
  </si>
  <si>
    <t>Parcelamento de Compra - Comercial Peck de Alim - Mercado - 3/3</t>
  </si>
  <si>
    <t>Petz - Gatos - Parcela 2/2</t>
  </si>
  <si>
    <t>Itens de casa Total</t>
  </si>
  <si>
    <t>G B Sp Comercio de - Pneus Carro - Parcela 4/6</t>
  </si>
  <si>
    <t>Amazon - Airfryer Pedro - Parcela 2/5</t>
  </si>
  <si>
    <t>Presente Vitória Total</t>
  </si>
  <si>
    <t>Pedro Compras Fev</t>
  </si>
  <si>
    <t>Parcelamento de Compra - Posto Tancredo Neves - 3/3</t>
  </si>
  <si>
    <t>Móvel Total</t>
  </si>
  <si>
    <t>Mp *Easyoilbr - Velas Celta - Parcela 2/2</t>
  </si>
  <si>
    <t>Kee*Miami Burger - Pedro</t>
  </si>
  <si>
    <t>Havan Braganca Paulist - Parcela 2/2</t>
  </si>
  <si>
    <t>Itens de casa</t>
  </si>
  <si>
    <t>Aluguel</t>
  </si>
  <si>
    <t>Parcelamento de Compra - Bare Auto Posto - 3/3</t>
  </si>
  <si>
    <t>Internet celular</t>
  </si>
  <si>
    <t>Mercadolivre*3produto - Parcela 2/2</t>
  </si>
  <si>
    <t>Roupa Total</t>
  </si>
  <si>
    <t>Parcelamento de Compra - Comercial Peck de Alim - 3/3</t>
  </si>
  <si>
    <t>Padaria Total</t>
  </si>
  <si>
    <t>Pendente</t>
  </si>
  <si>
    <t>Parcelamento de Compra - Barracadatata - 3/3</t>
  </si>
  <si>
    <t>Mp *Vini - Pedro</t>
  </si>
  <si>
    <t>Parcelamento de Compra - Bar da Praia Martim de - 3/3</t>
  </si>
  <si>
    <t>Parcelamento de Compra - Mp *Fell - 3/3</t>
  </si>
  <si>
    <t>Parcelamento de Compra - Kiskonofre - Quiosque - 3/3</t>
  </si>
  <si>
    <t>Parcelamento de Compra - Cybercomp - Sorveteria - 3/3</t>
  </si>
  <si>
    <t>Parcelamento de Compra - Jurandirgarcia - 3/3</t>
  </si>
  <si>
    <t>Parcelamento de Compra - Quiosque Jamaica - 3/3</t>
  </si>
  <si>
    <t>Parcelamento de Compra - Estefanidesouzasi - 3/3</t>
  </si>
  <si>
    <t>Parcelamento de Compra - Hortifruti - 3/3</t>
  </si>
  <si>
    <t>Parcelamento de Compra - Mercado Boa Vista de C - 3/3</t>
  </si>
  <si>
    <t>Parcelamento de Compra - Jr Ribeiro da Silva A - Açougue - 3/3</t>
  </si>
  <si>
    <t>Carrefour Anchieta Petz Pedro - Parcela 4/12</t>
  </si>
  <si>
    <t>Panificadora Bolini L</t>
  </si>
  <si>
    <t>Mercadolivre*2produto</t>
  </si>
  <si>
    <t>Perfumaria Sumire</t>
  </si>
  <si>
    <t>Jim.Com* 61501799 Gust - Pedro carro lavagem</t>
  </si>
  <si>
    <t>Vestcasa Braganca Paul</t>
  </si>
  <si>
    <t>Lojas Americanas</t>
  </si>
  <si>
    <t>Havan Braganca Paulist</t>
  </si>
  <si>
    <t>A Fazenda Rosario</t>
  </si>
  <si>
    <t>Centro Comercial Aveni - Posto de Gasolina</t>
  </si>
  <si>
    <t>Centro Médico Veterina - Pedro</t>
  </si>
  <si>
    <t>Gocase *Gocase - Parcela 1/3</t>
  </si>
  <si>
    <t>Av Nazare - Pedro</t>
  </si>
  <si>
    <t>Rededrogatem</t>
  </si>
  <si>
    <t>Posto Maria Estela - Pedro</t>
  </si>
  <si>
    <t>Rrb Comercio e Confecc - Tênis Pedro - Parcela 1/3</t>
  </si>
  <si>
    <t>Bellasantacruz</t>
  </si>
  <si>
    <t>Mr Ice Sorvetes</t>
  </si>
  <si>
    <t>Padaria Galileia</t>
  </si>
  <si>
    <t>Jose Augusto Rodrigues - Álbum Pedro - Parcela 1/2</t>
  </si>
  <si>
    <t>Comercial - Pedro</t>
  </si>
  <si>
    <t>Auto Posto Imigrantes-</t>
  </si>
  <si>
    <t>295 - Riachuelo-Sp - Parcela 1/2</t>
  </si>
  <si>
    <t>Roupa</t>
  </si>
  <si>
    <t>Contas do Detran</t>
  </si>
  <si>
    <t>Vivara Lojavivara-7164 - Parcela 1/3</t>
  </si>
  <si>
    <t>Presente Vitória</t>
  </si>
  <si>
    <t>Paygo*Valdirene Baccan - Pedro</t>
  </si>
  <si>
    <t>Jim.Com* Amac Comercio - Cadeira</t>
  </si>
  <si>
    <t>Móvel</t>
  </si>
  <si>
    <t>Life By Vivara - Parcela 1/3</t>
  </si>
  <si>
    <t>Mercado Livre - Pedro</t>
  </si>
  <si>
    <t>Nickssaruchas</t>
  </si>
  <si>
    <t>S Pigato Comercio</t>
  </si>
  <si>
    <t>Chiquinhos Sorvetes</t>
  </si>
  <si>
    <t>Dmfest Producoes e Eve</t>
  </si>
  <si>
    <t>PJBANK PAGAMENTOS S.A.</t>
  </si>
  <si>
    <t>Emporio do Aco - Pedro - Parcela 1/2</t>
  </si>
  <si>
    <t>Morana - Pedro - Parcela 1/2</t>
  </si>
  <si>
    <t>Raia</t>
  </si>
  <si>
    <t>Autozone Brasil Com Au</t>
  </si>
  <si>
    <t>Mp *Pijamasmodabr - Parcela 1/2</t>
  </si>
  <si>
    <t>Koyodai Pastelaria Sal</t>
  </si>
  <si>
    <t>Microsoft - Gamepass Pedro</t>
  </si>
  <si>
    <t>Lojas Renner Fl - Parcela 1/2</t>
  </si>
  <si>
    <t>1a99</t>
  </si>
  <si>
    <t>Fft Braganca Paulista</t>
  </si>
  <si>
    <t>Camilasayuri - Pedro</t>
  </si>
  <si>
    <t>R. F. Casa de Carnes</t>
  </si>
  <si>
    <t>Famosa Linguica</t>
  </si>
  <si>
    <t>Bar e Restaurante</t>
  </si>
  <si>
    <t>Trigo Bom Paes Doce - Pedro</t>
  </si>
  <si>
    <t>Sos Farma Lj - Pedro</t>
  </si>
  <si>
    <t>Swift Ipiranga</t>
  </si>
  <si>
    <t>62124999ana</t>
  </si>
  <si>
    <t>Postomariaestela</t>
  </si>
  <si>
    <t>Jeronimoatibaia - Parcela 1/2</t>
  </si>
  <si>
    <t>Big Supermercados</t>
  </si>
  <si>
    <t>Convem Supermercados D</t>
  </si>
  <si>
    <t>Rubensjosecampos</t>
  </si>
  <si>
    <t>Dia - Pedro</t>
  </si>
  <si>
    <t>Parcela 3/3 da viagem</t>
  </si>
  <si>
    <t>Não encontrei descrição, só vi que foi no cartão físico em 23/02 às 17:19</t>
  </si>
  <si>
    <t>Acho que é fastfood do dia que a Duda não levou marmita (27/02 às 12h45)</t>
  </si>
  <si>
    <t>Tenis Duda</t>
  </si>
  <si>
    <t>Album</t>
  </si>
  <si>
    <t>Não sei do que se trata</t>
  </si>
  <si>
    <t>Cílios Duda</t>
  </si>
  <si>
    <t>Pastel</t>
  </si>
  <si>
    <t>Pendente mês de Fevereiro</t>
  </si>
  <si>
    <t xml:space="preserve">Total completo: </t>
  </si>
  <si>
    <t>Amazon - celular Vitória</t>
  </si>
  <si>
    <t>Resenha Pedro (100 dele)</t>
  </si>
  <si>
    <t>Mobly Comercio Varejis - Parcela 3/10</t>
  </si>
  <si>
    <t>Mercadolivre*Mercadol - Note Pedro - Parcela 5/10</t>
  </si>
  <si>
    <t>LG TV nova - Parcela 12/12</t>
  </si>
  <si>
    <t>Emporio do Aco - Pedro - Parcela 2/2</t>
  </si>
  <si>
    <t>Mercadolivre* iPad Vitória - Parcela 6/12</t>
  </si>
  <si>
    <t>Auto Posto Sorriso</t>
  </si>
  <si>
    <t>Trabalho Total</t>
  </si>
  <si>
    <t>Resenha Pedro (100 dele) Total</t>
  </si>
  <si>
    <t>Life By Vivara - Parcela 2/3</t>
  </si>
  <si>
    <t>Presente</t>
  </si>
  <si>
    <t>Presente Total</t>
  </si>
  <si>
    <t>Morana - Pedro - Parcela 2/2</t>
  </si>
  <si>
    <t>Mlp *Netshoes-Nike - Parcela 1/2</t>
  </si>
  <si>
    <t>EBW*NuViagens - NuPay - Parcela 10/12</t>
  </si>
  <si>
    <t>Vivara Lojavivara-7164 - Parcela 2/3</t>
  </si>
  <si>
    <t>Rrb Comercio e Confecc - Tênis Pedro - Parcela 2/3</t>
  </si>
  <si>
    <t>M Zhou Lanchonete - Pedro</t>
  </si>
  <si>
    <t>Páscoa Total</t>
  </si>
  <si>
    <t>Trabalho</t>
  </si>
  <si>
    <t>Casa Total</t>
  </si>
  <si>
    <t>Roupas Total</t>
  </si>
  <si>
    <t>Ifd*Show de Cacau Come</t>
  </si>
  <si>
    <t>Páscoa</t>
  </si>
  <si>
    <t>Jose Augusto Rodrigues - Álbum Pedro - Parcela 2/2</t>
  </si>
  <si>
    <t>Parma Comercio Aliment</t>
  </si>
  <si>
    <t>Remediopopular - Parcela 1/2</t>
  </si>
  <si>
    <t>Cobasi Comercio de Pro - Parcela 1/2</t>
  </si>
  <si>
    <t>G B Sp Comercio de - Pneus Carro - Parcela 5/6</t>
  </si>
  <si>
    <t>Amazon - Airfryer Pedro - Parcela 3/5</t>
  </si>
  <si>
    <t>Gocase *Gocase - Parcela 2/3</t>
  </si>
  <si>
    <t>Raia2630</t>
  </si>
  <si>
    <t>Mp *Pijamasmodabr - Parcela 2/2</t>
  </si>
  <si>
    <t>Upwork -906389987conne</t>
  </si>
  <si>
    <t>Jim.Com* 35648572 Gab - Cabeleireiro</t>
  </si>
  <si>
    <t>Villa Chic - Almoço Trampo</t>
  </si>
  <si>
    <t>Lojas Renner Fl - Parcela 2/2</t>
  </si>
  <si>
    <t>Keeta*Arcos Dourado</t>
  </si>
  <si>
    <t>Jeronimoatibaia - Parcela 2/2</t>
  </si>
  <si>
    <t>Mercearia Nogeuweira</t>
  </si>
  <si>
    <t>Mercadolivre*Mercadol</t>
  </si>
  <si>
    <t>Casa</t>
  </si>
  <si>
    <t>Mcs Estacionamento - Pedro</t>
  </si>
  <si>
    <t>99food *Tradi Delivery</t>
  </si>
  <si>
    <t>295 - Riachuelo-Sp - Parcela 2/2</t>
  </si>
  <si>
    <t>Roupas</t>
  </si>
  <si>
    <t>Luz da Vila Mariana - Pedro</t>
  </si>
  <si>
    <t>Msk Pasteis - Pedro</t>
  </si>
  <si>
    <t>Chocolandia</t>
  </si>
  <si>
    <t>Cenoradas</t>
  </si>
  <si>
    <t>Jdaguas - Pedro</t>
  </si>
  <si>
    <t>Gersonmassahiroos - Pedro</t>
  </si>
  <si>
    <t>Ec *Melimais</t>
  </si>
  <si>
    <t>Carrefour Anchieta Petz Pedro - Parcela 5/12</t>
  </si>
  <si>
    <t>IOF de volta de Upwork -906389987conne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</si>
</sst>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yyyy-mm-dd"/>
    <numFmt numFmtId="166" formatCode="dd/mm"/>
    <numFmt numFmtId="167" formatCode="d mmm"/>
    <numFmt numFmtId="168" formatCode="dd 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/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3" fontId="2" numFmtId="0" xfId="0" applyAlignment="1" applyBorder="1" applyFill="1" applyFont="1">
      <alignment readingOrder="0"/>
    </xf>
    <xf borderId="1" fillId="3" fontId="2" numFmtId="164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2" numFmtId="164" xfId="0" applyBorder="1" applyFont="1" applyNumberFormat="1"/>
    <xf borderId="1" fillId="5" fontId="2" numFmtId="0" xfId="0" applyAlignment="1" applyBorder="1" applyFill="1" applyFont="1">
      <alignment readingOrder="0"/>
    </xf>
    <xf borderId="1" fillId="5" fontId="2" numFmtId="164" xfId="0" applyBorder="1" applyFont="1" applyNumberFormat="1"/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readingOrder="0" vertical="bottom"/>
    </xf>
    <xf borderId="0" fillId="0" fontId="2" numFmtId="164" xfId="0" applyFont="1" applyNumberFormat="1"/>
    <xf borderId="1" fillId="0" fontId="4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2" fillId="3" fontId="1" numFmtId="0" xfId="0" applyAlignment="1" applyBorder="1" applyFont="1">
      <alignment readingOrder="0"/>
    </xf>
    <xf borderId="2" fillId="3" fontId="1" numFmtId="164" xfId="0" applyBorder="1" applyFont="1" applyNumberFormat="1"/>
    <xf borderId="1" fillId="6" fontId="2" numFmtId="0" xfId="0" applyAlignment="1" applyBorder="1" applyFill="1" applyFont="1">
      <alignment readingOrder="0"/>
    </xf>
    <xf borderId="1" fillId="6" fontId="2" numFmtId="164" xfId="0" applyBorder="1" applyFont="1" applyNumberFormat="1"/>
    <xf borderId="3" fillId="7" fontId="2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2" fillId="7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5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8" fontId="2" numFmtId="0" xfId="0" applyAlignment="1" applyFill="1" applyFont="1">
      <alignment readingOrder="0" vertical="center"/>
    </xf>
    <xf borderId="0" fillId="8" fontId="2" numFmtId="164" xfId="0" applyAlignment="1" applyFont="1" applyNumberFormat="1">
      <alignment vertical="center"/>
    </xf>
    <xf borderId="0" fillId="9" fontId="2" numFmtId="0" xfId="0" applyAlignment="1" applyFill="1" applyFont="1">
      <alignment readingOrder="0" vertical="center"/>
    </xf>
    <xf borderId="0" fillId="9" fontId="2" numFmtId="164" xfId="0" applyAlignment="1" applyFont="1" applyNumberFormat="1">
      <alignment vertical="center"/>
    </xf>
    <xf borderId="0" fillId="4" fontId="2" numFmtId="0" xfId="0" applyAlignment="1" applyFont="1">
      <alignment readingOrder="0" vertical="center"/>
    </xf>
    <xf borderId="0" fillId="4" fontId="2" numFmtId="164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10" fontId="1" numFmtId="0" xfId="0" applyAlignment="1" applyFill="1" applyFont="1">
      <alignment readingOrder="0" vertical="center"/>
    </xf>
    <xf borderId="0" fillId="10" fontId="1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10" fontId="1" numFmtId="0" xfId="0" applyAlignment="1" applyFont="1">
      <alignment horizontal="center" readingOrder="0"/>
    </xf>
    <xf borderId="1" fillId="10" fontId="2" numFmtId="0" xfId="0" applyAlignment="1" applyBorder="1" applyFont="1">
      <alignment horizontal="right" readingOrder="0"/>
    </xf>
    <xf borderId="1" fillId="10" fontId="2" numFmtId="164" xfId="0" applyAlignment="1" applyBorder="1" applyFont="1" applyNumberFormat="1">
      <alignment readingOrder="0"/>
    </xf>
    <xf borderId="0" fillId="11" fontId="1" numFmtId="0" xfId="0" applyAlignment="1" applyFill="1" applyFont="1">
      <alignment horizontal="center" readingOrder="0"/>
    </xf>
    <xf borderId="1" fillId="11" fontId="2" numFmtId="0" xfId="0" applyAlignment="1" applyBorder="1" applyFont="1">
      <alignment readingOrder="0"/>
    </xf>
    <xf borderId="1" fillId="11" fontId="2" numFmtId="164" xfId="0" applyBorder="1" applyFont="1" applyNumberFormat="1"/>
    <xf borderId="6" fillId="11" fontId="1" numFmtId="0" xfId="0" applyAlignment="1" applyBorder="1" applyFont="1">
      <alignment horizontal="center" readingOrder="0"/>
    </xf>
    <xf borderId="7" fillId="0" fontId="5" numFmtId="0" xfId="0" applyBorder="1" applyFont="1"/>
    <xf borderId="1" fillId="11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right" readingOrder="0"/>
    </xf>
    <xf borderId="1" fillId="4" fontId="2" numFmtId="164" xfId="0" applyAlignment="1" applyBorder="1" applyFont="1" applyNumberFormat="1">
      <alignment readingOrder="0"/>
    </xf>
    <xf borderId="1" fillId="4" fontId="1" numFmtId="164" xfId="0" applyBorder="1" applyFont="1" applyNumberFormat="1"/>
    <xf borderId="1" fillId="12" fontId="1" numFmtId="164" xfId="0" applyBorder="1" applyFill="1" applyFont="1" applyNumberFormat="1"/>
    <xf borderId="1" fillId="10" fontId="1" numFmtId="164" xfId="0" applyBorder="1" applyFont="1" applyNumberFormat="1"/>
    <xf borderId="0" fillId="0" fontId="2" numFmtId="0" xfId="0" applyAlignment="1" applyFont="1">
      <alignment readingOrder="0" shrinkToFit="0" vertical="center" wrapText="1"/>
    </xf>
    <xf borderId="8" fillId="8" fontId="2" numFmtId="0" xfId="0" applyAlignment="1" applyBorder="1" applyFont="1">
      <alignment readingOrder="0" vertical="center"/>
    </xf>
    <xf borderId="8" fillId="8" fontId="2" numFmtId="164" xfId="0" applyAlignment="1" applyBorder="1" applyFont="1" applyNumberFormat="1">
      <alignment vertical="center"/>
    </xf>
    <xf borderId="8" fillId="0" fontId="2" numFmtId="0" xfId="0" applyAlignment="1" applyBorder="1" applyFont="1">
      <alignment readingOrder="0"/>
    </xf>
    <xf borderId="8" fillId="5" fontId="2" numFmtId="164" xfId="0" applyBorder="1" applyFont="1" applyNumberFormat="1"/>
    <xf borderId="8" fillId="0" fontId="2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8" fillId="5" fontId="2" numFmtId="164" xfId="0" applyAlignment="1" applyBorder="1" applyFont="1" applyNumberFormat="1">
      <alignment shrinkToFit="0" vertical="center" wrapText="0"/>
    </xf>
    <xf borderId="1" fillId="6" fontId="2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8" fillId="5" fontId="2" numFmtId="0" xfId="0" applyBorder="1" applyFont="1"/>
    <xf borderId="8" fillId="3" fontId="2" numFmtId="164" xfId="0" applyBorder="1" applyFont="1" applyNumberFormat="1"/>
    <xf borderId="9" fillId="2" fontId="1" numFmtId="0" xfId="0" applyAlignment="1" applyBorder="1" applyFont="1">
      <alignment horizontal="center" readingOrder="0"/>
    </xf>
    <xf borderId="9" fillId="2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center" wrapText="0"/>
    </xf>
    <xf borderId="8" fillId="0" fontId="2" numFmtId="167" xfId="0" applyAlignment="1" applyBorder="1" applyFont="1" applyNumberFormat="1">
      <alignment horizontal="left" readingOrder="0"/>
    </xf>
    <xf borderId="8" fillId="0" fontId="2" numFmtId="164" xfId="0" applyAlignment="1" applyBorder="1" applyFont="1" applyNumberFormat="1">
      <alignment readingOrder="0"/>
    </xf>
    <xf borderId="8" fillId="0" fontId="2" numFmtId="0" xfId="0" applyAlignment="1" applyBorder="1" applyFont="1">
      <alignment horizontal="left" readingOrder="0"/>
    </xf>
    <xf borderId="8" fillId="0" fontId="2" numFmtId="168" xfId="0" applyAlignment="1" applyBorder="1" applyFont="1" applyNumberFormat="1">
      <alignment horizontal="left" readingOrder="0"/>
    </xf>
    <xf borderId="8" fillId="0" fontId="2" numFmtId="168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164" xfId="0" applyAlignment="1" applyBorder="1" applyFont="1" applyNumberFormat="1">
      <alignment horizontal="right"/>
    </xf>
    <xf borderId="1" fillId="0" fontId="3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8" fillId="0" fontId="3" numFmtId="0" xfId="0" applyAlignment="1" applyBorder="1" applyFont="1">
      <alignment vertical="bottom"/>
    </xf>
    <xf borderId="8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3" fontId="2" numFmtId="164" xfId="0" applyAlignment="1" applyFont="1" applyNumberFormat="1">
      <alignment vertical="center"/>
    </xf>
    <xf borderId="0" fillId="5" fontId="2" numFmtId="0" xfId="0" applyAlignment="1" applyFont="1">
      <alignment readingOrder="0" vertical="center"/>
    </xf>
    <xf borderId="0" fillId="5" fontId="2" numFmtId="164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" sheet="Set"/>
  </cacheSource>
  <cacheFields>
    <cacheField name="date" numFmtId="165">
      <sharedItems containsSemiMixedTypes="0" containsDate="1" containsString="0"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6T00:00:00Z"/>
        <d v="2025-09-07T00:00:00Z"/>
        <d v="2025-09-08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8T00:00:00Z"/>
        <d v="2025-09-19T00:00:00Z"/>
        <d v="2025-09-20T00:00:00Z"/>
        <d v="2025-09-21T00:00:00Z"/>
        <d v="2025-09-22T00:00:00Z"/>
        <d v="2025-09-24T00:00:00Z"/>
        <d v="2025-10-03T00:00:00Z"/>
      </sharedItems>
    </cacheField>
    <cacheField name="title" numFmtId="0">
      <sharedItems>
        <s v="Airbnb * Hm8cksqf8d - Parcela 3/7"/>
        <s v="LG TV nova - Parcela 5/12"/>
        <s v="Radiadores Agua Funda - Parcela 2/3"/>
        <s v="Carrefour fogão - Parcela 8/10"/>
        <s v="EBW*NuViagens - NuPay - Parcela 3/12"/>
        <s v="Pag*Ea FC 26 - Parcela 2/3"/>
        <s v="Drogaria Sao Paulo - Parcela 3/3"/>
        <s v="Carrefour Anchieta - Parcela 2/2"/>
        <s v="Óculos Pedro - Parcela 5/6"/>
        <s v="Fisia Nike Ecommer - Parcela 3/4"/>
        <s v="Kabum Cadeira escritório - Parcela 7/10"/>
        <s v="Carrefour Anchieta"/>
        <s v="Cotton On - Shopping - Parcela 2/3"/>
        <s v="Carrefour Spa"/>
        <s v="Pbsetyou - Parcela 2/3"/>
        <s v="Barbearia"/>
        <s v="Dinho Espetinho"/>
        <s v="Atakarejo Distribuido"/>
        <s v="Havaianas"/>
        <s v="Coelhinho 22 de Abril"/>
        <s v="Farmacia Indiana 261 P"/>
        <s v="Gru Praca Term Ii"/>
        <s v="Eco Bag"/>
        <s v="Mp *Melimais"/>
        <s v="Supermercado da Orla"/>
        <s v="Dois M Artesanatos"/>
        <s v="Mestre do Pao"/>
        <s v="Arte Pura Artesanato e"/>
        <s v="Microsoft*Microsoft"/>
        <s v="Acai de Porto"/>
        <s v="61,511,472 Pedro Vict"/>
        <s v="Padaria Lanchonete e"/>
        <s v="Ifd*Ifood Club"/>
        <s v="Auto Posto Navegantes"/>
        <s v="Julialimaleal"/>
        <s v="Autozone"/>
        <s v="Berrys Ice Food"/>
        <s v="Mp *Bruno"/>
        <s v="Wps*Laene Silva Lima G"/>
        <s v="Dell - Parcela 1/6"/>
        <s v="Deziree"/>
        <s v="Coelhinho Orla"/>
        <s v="Movida Rac Pose - Parcela 1/3"/>
        <s v="Postocomaris"/>
        <s v="Portao 7 -"/>
        <s v="Posto do Bira"/>
        <s v="Swift"/>
        <s v="Netflix,Com"/>
        <s v="Google Youtube"/>
        <s v="Ebn*Spotify"/>
        <s v="UOL Cursos Tecnologia Educacio PROCESSADO POR ADYE - 1/2"/>
        <s v="Pedro Henrique Afonso de Camargo - 1/5"/>
        <s v="Mercadolivre*2produtos"/>
        <s v="Rdsaude Online - Parcela 1/3"/>
        <s v="Kalunga Ipir*Kalunga"/>
        <s v="Tol Park Estacionament"/>
        <s v="Assinatura Max desconto Nubank"/>
        <s v="Mdpsthshplaza Sul Shop"/>
        <s v="Asaas *Allya"/>
        <s v="Cinemark S Bernardo"/>
        <s v="Propark"/>
        <s v="Edwardbelloramos"/>
        <s v="Alissoncamarg"/>
        <s v="Tarcianodesouza - Parcela 1/2"/>
        <s v="Ab Ice Creams e Acai L"/>
        <s v="Uber Uber *Trip Help,U"/>
        <s v="Wellhub Gympass Br Gym"/>
        <s v="Mp *Barbearia"/>
        <s v="Centro Automotivo Psx5"/>
        <s v="Centro Automotivo Psx5 - Parcela 1/3"/>
        <s v="Google One"/>
        <s v="Estacionamentowa"/>
        <s v="Cercadao"/>
        <s v="UOL Cursos Tecnologia Educacio PROCESSADO POR ADYE - 1/3"/>
        <s v="Heroos Gelatos"/>
        <s v="Capcut"/>
        <s v="Ingressos Pedro"/>
        <s v="Mercado"/>
        <s v="Café da manhã"/>
        <s v="Drogaria"/>
        <s v="Sorvete"/>
        <s v="Gás"/>
        <s v="Mercadinho perto de casa"/>
        <s v="Farmacia"/>
        <s v="Padaria"/>
        <s v="Parcelamento de Compra - Gallo Deck - 1/2"/>
        <s v="Parcelamento de Compra - Camaraodapraia - 1/2"/>
        <s v="Parcelamento de Compra - Santo Porco Bar - 1/2"/>
        <s v="Parcelamento de Compra - Cabana Macuco - 1/2"/>
        <s v="Parcelamento de Compra - Quiosque Roxo Praia Bar - 1/2"/>
      </sharedItems>
    </cacheField>
    <cacheField name="amount" numFmtId="164">
      <sharedItems containsSemiMixedTypes="0" containsString="0" containsNumber="1">
        <n v="256.19"/>
        <n v="243.67"/>
        <n v="181.34"/>
        <n v="162.9"/>
        <n v="142.5"/>
        <n v="128.7"/>
        <n v="113.06"/>
        <n v="111.72"/>
        <n v="107.83"/>
        <n v="102.12"/>
        <n v="98.41"/>
        <n v="61.4"/>
        <n v="58.95"/>
        <n v="50.83"/>
        <n v="49.99"/>
        <n v="35.0"/>
        <n v="125.33"/>
        <n v="110.34"/>
        <n v="57.99"/>
        <n v="48.24"/>
        <n v="35.97"/>
        <n v="25.9"/>
        <n v="25.0"/>
        <n v="24.9"/>
        <n v="8.58"/>
        <n v="39.0"/>
        <n v="20.0"/>
        <n v="9.0"/>
        <n v="30.52"/>
        <n v="27.35"/>
        <n v="23.5"/>
        <n v="5.95"/>
        <n v="188.05"/>
        <n v="129.9"/>
        <n v="94.98"/>
        <n v="49.02"/>
        <n v="20.37"/>
        <n v="10.0"/>
        <n v="432.84"/>
        <n v="83.8"/>
        <n v="61.68"/>
        <n v="302.68"/>
        <n v="260.51"/>
        <n v="79.0"/>
        <n v="69.21"/>
        <n v="62.3"/>
        <n v="57.8"/>
        <n v="53.9"/>
        <n v="27.9"/>
        <n v="274.09"/>
        <n v="113.19"/>
        <n v="47.89"/>
        <n v="46.64"/>
        <n v="20.8"/>
        <n v="16.0"/>
        <n v="9.9"/>
        <n v="145.2"/>
        <n v="53.8"/>
        <n v="43.96"/>
        <n v="26.0"/>
        <n v="12.0"/>
        <n v="120.0"/>
        <n v="25.56"/>
        <n v="11.18"/>
        <n v="89.9"/>
        <n v="60.0"/>
        <n v="40.0"/>
        <n v="21.0"/>
        <n v="196.95"/>
        <n v="153.29"/>
        <n v="9.99"/>
        <n v="19.97"/>
        <n v="179.9"/>
        <n v="79.49"/>
        <n v="45.78"/>
        <n v="34.99"/>
        <n v="65.9"/>
        <n v="12.99"/>
        <n v="59.63"/>
        <n v="40.6"/>
        <n v="25.58"/>
        <n v="41.27"/>
        <n v="22.01"/>
        <n v="125.0"/>
        <n v="40.95"/>
        <n v="26.9"/>
        <n v="16.8"/>
        <n v="8.59"/>
        <n v="140.79"/>
        <n v="135.4"/>
        <n v="127.97"/>
        <n v="104.85"/>
        <n v="79.68"/>
      </sharedItems>
    </cacheField>
    <cacheField name="categoria" numFmtId="0">
      <sharedItems>
        <s v="Viagem casa"/>
        <s v="Compra parcelada"/>
        <s v="Carro"/>
        <s v="Viagem passagens"/>
        <s v="Vitaminas"/>
        <s v="Mercado"/>
        <s v="Pedro"/>
        <s v="Vitória"/>
        <s v="Lucas"/>
        <s v="Viagem comida"/>
        <s v="Viagem presente"/>
        <s v="Viagem farmacia"/>
        <s v="Assinatura"/>
        <s v="Mãe"/>
        <s v="Viagem Carro"/>
        <s v="Compra"/>
        <s v="Fast food"/>
        <s v="Farmácia"/>
        <s v="Compra viagem parcelad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57" sheet="Out"/>
  </cacheSource>
  <cacheFields>
    <cacheField name="date" numFmtId="165">
      <sharedItems containsDate="1" containsString="0" containsBlank="1">
        <d v="2025-09-28T00:00:00Z"/>
        <d v="2025-10-12T00:00:00Z"/>
        <d v="2025-10-22T00:00:00Z"/>
        <d v="2025-10-17T00:00:00Z"/>
        <d v="2025-10-21T00:00:00Z"/>
        <d v="2025-10-06T00:00:00Z"/>
        <d v="2025-10-01T00:00:00Z"/>
        <d v="2025-10-13T00:00:00Z"/>
        <d v="2025-09-26T00:00:00Z"/>
        <d v="2025-09-29T00:00:00Z"/>
        <d v="2025-10-15T00:00:00Z"/>
        <d v="2025-10-10T00:00:00Z"/>
        <d v="2025-10-03T00:00:00Z"/>
        <d v="2025-09-27T00:00:00Z"/>
        <d v="2025-10-16T00:00:00Z"/>
        <d v="2025-10-04T00:00:00Z"/>
        <d v="2025-10-11T00:00:00Z"/>
        <d v="2025-10-23T00:00:00Z"/>
        <d v="2025-10-07T00:00:00Z"/>
        <d v="2025-10-02T00:00:00Z"/>
        <d v="2025-10-25T00:00:00Z"/>
        <d v="2025-10-08T00:00:00Z"/>
        <d v="2025-10-05T00:00:00Z"/>
        <d v="2025-10-24T00:00:00Z"/>
        <d v="2025-10-14T00:00:00Z"/>
        <d v="2025-10-18T00:00:00Z"/>
        <d v="2025-10-09T00:00:00Z"/>
        <d v="2025-10-19T00:00:00Z"/>
        <m/>
      </sharedItems>
    </cacheField>
    <cacheField name="title" numFmtId="0">
      <sharedItems containsBlank="1">
        <s v="00052 Sh Plaza Sul - Parcela 1/2"/>
        <s v="5m Comercio Atacadista"/>
        <s v="60092703denilton"/>
        <s v="99 food *Italin House"/>
        <s v="99 food *Miellna Sweet"/>
        <s v="99food *Kfc - Plaza Su Pedro"/>
        <s v="Ab Ice Creams e Acai L"/>
        <s v="Abraao de Morais Poin"/>
        <s v="Airbnb * Hm8cksqf8d - Parcela 4/7"/>
        <s v="Art Livieiro Panifica"/>
        <s v="Assinatura Max desconto Nubank"/>
        <s v="Banca de Jornal"/>
        <s v="Bbb Ps Hamburgueria"/>
        <s v="Camilasayuri pastel pedro"/>
        <s v="Cana Mania Megumi"/>
        <s v="Carrefour Anchieta"/>
        <s v="Carrefour Anchieta petz - Parcela 1/2"/>
        <s v="Carrefour fogão - Parcela 9/10"/>
        <s v="Centro Automotivo Psx5 - Parcela 2/3"/>
        <s v="Centro Medico Veterina - Parcela 1/2"/>
        <s v="Cotton On - Shopping - Parcela 3/3"/>
        <s v="Cristal"/>
        <s v="de Espetinhos"/>
        <s v="Dell - Parcela 2/6"/>
        <s v="Deposito Rufino Materi"/>
        <s v="Deposito Rufino Materi pedro"/>
        <s v="Doceria Rejane"/>
        <s v="Drogaria Sao Paulo"/>
        <s v="Ebn *Spotify"/>
        <s v="Ebn*Capcut"/>
        <s v="EBW*NuViagens - NuPay - Parcela 4/12"/>
        <s v="Edwardbelloramos"/>
        <s v="Estacionamentowa"/>
        <s v="Fisia Nike Ecommer - Parcela 4/4"/>
        <s v="Gersonmassahiroos pedro"/>
        <s v="Gomes Minimercado"/>
        <s v="Gomes Minimercado Pedro"/>
        <s v="Google One"/>
        <s v="Google Youtube"/>
        <s v="Grupo Leone Comercio - Chiquinho"/>
        <s v="Ifd*Hilla Doces"/>
        <s v="Infinitipark"/>
        <s v="Itiriki"/>
        <s v="Joao Dantas Formiga"/>
        <s v="Jr Estacionamento"/>
        <s v="Kabum Cadeira escritório - Parcela 8/10"/>
        <s v="Kalunga Ipiranga"/>
        <s v="KFC Shp Plaza Sul"/>
        <s v="Kingyo"/>
        <s v="LG TV nova - Parcela 6/12"/>
        <s v="Mar Cristal Paes e"/>
        <s v="Mercadinho Jd Botucatu"/>
        <s v="Mercadinho Marcinha"/>
        <s v="Mercadinho Marcinha Pedro"/>
        <s v="Mercado Extra-1710"/>
        <s v="Mercadolivre*Lojasopr - Parcela 1/2"/>
        <s v="Mmsconviniencia"/>
        <s v="Movida Rac Pose - Parcela 2/3"/>
        <s v="Mp *Alissoncamarg"/>
        <s v="Mp *Alissoncamarg narguilé resenha"/>
        <s v="Mp *Barbearia"/>
        <s v="Mp *Vini"/>
        <s v="Mp *Vini cabo iphone"/>
        <s v="Netflix,Com"/>
        <s v="Oakberry Acai Bowls"/>
        <s v="Óculos Pedro - Parcela 6/6"/>
        <s v="Oggi Sorvetes"/>
        <s v="Oxxo Caste"/>
        <s v="Pag*Ea FC 26 - Parcela 3/3"/>
        <s v="Panificador Nova Prin"/>
        <s v="Parcelamento de Compra - Cabana Macuco - 2/2"/>
        <s v="Parcelamento de Compra - Camaraodapraia - 2/2"/>
        <s v="Parcelamento de Compra - Gallo Deck - 2/2"/>
        <s v="Parcelamento de Compra - Quiosque Roxo Praia Bar - 2/2"/>
        <s v="Parcelamento de Compra - Santo Porco Bar - 2/2"/>
        <s v="Pastel da Vila"/>
        <s v="Pbsetyou - Parcela 3/3"/>
        <s v="Pedro Henrique Afonso de Camargo - 2/5"/>
        <s v="Petz Assai Anchieta"/>
        <s v="Petz Carrefour Imigran"/>
        <s v="Pizzaria e Restaurante"/>
        <s v="Posto Lyon"/>
        <s v="Posto Tancredo Neves"/>
        <s v="Postocomaris"/>
        <s v="Postomariaestela pedro"/>
        <s v="Ppro *Microsoft"/>
        <s v="Radiadores Agua Funda - Parcela 3/3"/>
        <s v="Rdsaude Online - Parcela 2/3"/>
        <s v="Remediopopular"/>
        <s v="Remediopopular vitamina D"/>
        <s v="Rogerio Ferreira"/>
        <s v="Sacolao Vila das Merce"/>
        <s v="Scribd"/>
        <s v="Sodimac"/>
        <s v="Sos Farma Lj"/>
        <s v="Swift"/>
        <s v="Swift Pedro"/>
        <s v="Swift Vila das Merces"/>
        <s v="Tarcianodesouza - Parcela 2/2"/>
        <s v="TRANCOSO RATATUR - 1/4"/>
        <s v="Trigo Bom"/>
        <s v="Uber* Trip"/>
        <s v="UOL Cursos Tecnologia Educacio PROCESSADO POR ADYE - 2/2"/>
        <s v="UOL Cursos Tecnologia Educacio PROCESSADO POR ADYE - 2/3"/>
        <s v="Wellhub Gympass Br Gym"/>
        <s v="Youcom Fl - Parcela 1/2"/>
        <s v="Youcom Fl - Parcela 1/4"/>
        <m/>
      </sharedItems>
    </cacheField>
    <cacheField name="amount" numFmtId="164">
      <sharedItems containsString="0" containsBlank="1" containsNumber="1">
        <n v="59.95"/>
        <n v="11.97"/>
        <n v="29.76"/>
        <n v="23.0"/>
        <n v="30.45"/>
        <n v="28.49"/>
        <n v="64.0"/>
        <n v="28.73"/>
        <n v="31.63"/>
        <n v="81.95"/>
        <n v="256.19"/>
        <n v="10.9"/>
        <n v="38.6"/>
        <n v="9.9"/>
        <n v="4.0"/>
        <n v="110.88"/>
        <n v="60.0"/>
        <n v="22.0"/>
        <n v="24.99"/>
        <n v="92.98"/>
        <n v="117.5"/>
        <n v="162.9"/>
        <n v="153.28"/>
        <n v="72.5"/>
        <n v="58.95"/>
        <n v="19.0"/>
        <n v="432.82"/>
        <n v="6.0"/>
        <n v="115.0"/>
        <n v="17.0"/>
        <n v="34.0"/>
        <n v="51.0"/>
        <n v="84.3"/>
        <n v="99.05"/>
        <n v="14.79"/>
        <n v="40.9"/>
        <n v="65.9"/>
        <n v="142.5"/>
        <n v="26.0"/>
        <n v="25.0"/>
        <n v="102.12"/>
        <n v="19.34"/>
        <n v="93.7"/>
        <n v="92.99"/>
        <n v="9.99"/>
        <n v="53.9"/>
        <n v="33.0"/>
        <n v="19.67"/>
        <n v="27.83"/>
        <n v="10.0"/>
        <n v="98.41"/>
        <n v="79.8"/>
        <n v="81.5"/>
        <n v="58.0"/>
        <n v="243.67"/>
        <n v="4.25"/>
        <n v="31.95"/>
        <n v="14.09"/>
        <n v="59.97"/>
        <n v="20.0"/>
        <n v="22.78"/>
        <n v="36.19"/>
        <n v="32.72"/>
        <n v="80.9"/>
        <n v="302.66"/>
        <n v="36.0"/>
        <n v="100.0"/>
        <n v="40.0"/>
        <n v="35.0"/>
        <n v="57.8"/>
        <n v="20.99"/>
        <n v="107.83"/>
        <n v="15.98"/>
        <n v="32.4"/>
        <n v="128.7"/>
        <n v="23.16"/>
        <n v="104.85"/>
        <n v="135.4"/>
        <n v="140.79"/>
        <n v="79.68"/>
        <n v="127.97"/>
        <n v="49.99"/>
        <n v="113.19"/>
        <n v="84.0"/>
        <n v="277.46"/>
        <n v="240.01"/>
        <n v="70.0"/>
        <n v="50.0"/>
        <n v="191.0"/>
        <n v="9.0"/>
        <n v="181.34"/>
        <n v="46.63"/>
        <n v="6.52"/>
        <n v="36.59"/>
        <n v="107.79"/>
        <n v="55.47"/>
        <n v="32.17"/>
        <n v="32.07"/>
        <n v="6.48"/>
        <n v="34.15"/>
        <n v="39.8"/>
        <n v="349.8"/>
        <n v="23.9"/>
        <n v="120.0"/>
        <n v="70.51"/>
        <n v="70.58"/>
        <n v="29.0"/>
        <n v="18.35"/>
        <n v="55.7"/>
        <n v="27.93"/>
        <n v="274.09"/>
        <n v="179.9"/>
        <n v="89.9"/>
        <n v="44.95"/>
        <n v="47.75"/>
        <m/>
      </sharedItems>
    </cacheField>
    <cacheField name="categoria" numFmtId="0">
      <sharedItems containsBlank="1">
        <s v="Vitória"/>
        <s v="Mercado"/>
        <s v="Fastfood"/>
        <s v="Pedro"/>
        <s v="Fast food"/>
        <s v="Viagem casa"/>
        <s v="Assinatura"/>
        <s v="Compra"/>
        <s v="Role liberadade"/>
        <s v="Gatos"/>
        <s v="Compra parcelada"/>
        <s v="Carro"/>
        <s v="Mãe"/>
        <s v="Farmácia"/>
        <s v="Lucas"/>
        <s v="Viagem passagens"/>
        <s v="Resenha Pedro"/>
        <s v="Adega"/>
        <s v="Viagem Carro"/>
        <s v="Resenha"/>
        <s v="Compra viagem parcelada"/>
        <s v="Viagem uber"/>
        <s v="Vitória (app de livro)"/>
        <s v="Viagem passeio"/>
        <s v="Maguila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48" sheet="Nov"/>
  </cacheSource>
  <cacheFields>
    <cacheField name="date" numFmtId="165">
      <sharedItems containsDate="1" containsString="0" containsBlank="1">
        <d v="2025-10-27T00:00:00Z"/>
        <d v="2025-10-28T00:00:00Z"/>
        <d v="2025-10-30T00:00:00Z"/>
        <d v="2025-10-31T00:00:00Z"/>
        <d v="2025-11-01T00:00:00Z"/>
        <d v="2025-11-02T00:00:00Z"/>
        <d v="2025-11-03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5T00:00:00Z"/>
        <d v="2025-11-16T00:00:00Z"/>
        <d v="2025-11-19T00:00:00Z"/>
        <d v="2025-11-18T00:00:00Z"/>
        <d v="2025-11-17T00:00:00Z"/>
        <d v="2025-11-22T00:00:00Z"/>
        <d v="2025-11-21T00:00:00Z"/>
        <d v="2025-11-20T00:00:00Z"/>
        <d v="2025-11-24T00:00:00Z"/>
        <d v="2025-11-25T00:00:00Z"/>
        <m/>
      </sharedItems>
    </cacheField>
    <cacheField name="title" numFmtId="0">
      <sharedItems containsBlank="1">
        <s v="Mmsconviniencia"/>
        <s v="Ebn *Spotify"/>
        <s v="Carrefour Gasolina Carro"/>
        <s v="Centro Automotivo Psx5 - Parcela 3/3"/>
        <s v="Rdsaude Online - Parcela 3/3"/>
        <s v="Carrefour fogão - Parcela 10/10"/>
        <s v="Kabum Cadeira escritório - Parcela 9/10"/>
        <s v="LG TV nova - Parcela 7/12"/>
        <s v="Mercadolivre*Lojasopr - Parcela 2/2"/>
        <s v="Acai Conecta"/>
        <s v="Carrefour Anchieta petz - Parcela 2/2"/>
        <s v="Carrefour Spa"/>
        <s v="Centro Medico Veterina - Parcela 2/2"/>
        <s v="Dell - Parcela 3/6"/>
        <s v="Carrefour Anchieta"/>
        <s v="Sacolao Vila das Merce"/>
        <s v="Pedro Henrique Afonso de Camargo - 3/5"/>
        <s v="Postomariaestela Pedro - Parcela 2/2"/>
        <s v="Movida Rac Pose - Parcela 3/3"/>
        <s v="Airbnb * Hm8cksqf8d - Parcela 5/7"/>
        <s v="EBW*NuViagens - NuPay - Parcela 5/12"/>
        <s v="TRANCOSO RATATUR - 2/4"/>
        <s v="00052 Sh Plaza Sul - Parcela 2/2"/>
        <s v="UOL Cursos Tecnologia Educacio PROCESSADO POR ADYE - 3/3"/>
        <s v="Youcom Fl - Parcela 2/2"/>
        <s v="Youcom Fl - Parcela 2/4"/>
        <s v="Microsoft*Microsoft"/>
        <s v="Mercadinho Jd Botucatu"/>
        <s v="Atacadao 269 As"/>
        <s v="Nat*Natura Pagamentos Pedro - Parcela 1/2"/>
        <s v="Joao Dantas Formiga"/>
        <s v="99food *Arcos Dourados"/>
        <s v="Mp *Barbearia"/>
        <s v="Drogaria Sao Paulo"/>
        <s v="Carrefour Spa Maguila"/>
        <s v="Otto Ristorante Fastfood"/>
        <s v="Google Youtube"/>
        <s v="Raizes da Serra Comerc Fastfood"/>
        <s v="Netflix,Com"/>
        <s v="Cristianobenizda Pedro - Parcela 1/2"/>
        <s v="Parcelamento de Compra - Aliexpress Controle 8bitdo Lucas - 1/2"/>
        <s v="Mania Fashion Calcad Pedro - Parcela 1/2"/>
        <s v="Assinatura Max desconto Nubank"/>
        <s v="Autopostoirmaos Pedro"/>
        <s v="Autozone"/>
        <s v="Mercadolivre*Idmais"/>
        <s v="Petz Carrefour Imigran"/>
        <s v="Mp *Alissoncamarg Pedro"/>
        <s v="99food *Miami Burger L"/>
        <s v="Postocomaris Pedro"/>
        <s v="Google One"/>
        <s v="Postomariaestela Carro Lucas"/>
        <s v="Wellhub Gympass Br Gym"/>
        <s v="99food *Outback Steakh"/>
        <s v="Ls Sp Plaza Sul Sao Pa Pedro - Parcela 1/3"/>
        <s v="Microsoft*Store Gamepass Lucas"/>
        <s v="Mercado Rocha"/>
        <s v="Ppro *Microsoft Gamepass Pedro"/>
        <s v="ENEL DISTRIBUICAO DE SAO PAULO"/>
        <s v="99food *44,893,898 Mil"/>
        <s v="V L de Araujo Docuras"/>
        <s v="Pg *Nuvem Winona Vitória - Parcela 1/3"/>
        <s v="Mercadolivre*Mercadoli"/>
        <s v="Adega do Pio"/>
        <s v="Ebn *Capcut"/>
        <s v="Mercadolivre* iPad Vitória - Parcela 1/12"/>
        <s v="Parcelamento de Compra - Mercadolivre*Mercadol - Caneta iPad Vitória - 1/2"/>
        <s v="Mercadolivre* Capa iPad"/>
        <s v="Mercadolivre* Controle PS5 - Parcela 1/2"/>
        <s v="SHPP BRASIL INSTITUICAO DE PAG - 1/2"/>
        <s v="99food *Italin House M"/>
        <s v="Art Livieiro Panifica"/>
        <s v="99food *Outback Burger"/>
        <s v="Pag*Steam DSX"/>
        <s v="Lmr Servicos de Costura - Blusa Vitória"/>
        <s v="Posto Jirau - Burguinho Fastfood"/>
        <s v="Mercado Extra-1710"/>
        <s v="Leitura"/>
        <s v="Grupo Leone Comercio - Chiquinho"/>
        <s v="Makibella Shop D Pedro"/>
        <s v="Pg *Nuvem Jaspecompany Vitória - Parcela 1/2"/>
        <s v="Carrefour 388 Carro"/>
        <s v="Carrefour Spa Mercado"/>
        <s v="Adega Carrefour"/>
        <s v="Posto Tancredo Neves"/>
        <s v="Carrefour Anchieta - Parcela 1/2"/>
        <m/>
      </sharedItems>
    </cacheField>
    <cacheField name="amount" numFmtId="164">
      <sharedItems containsString="0" containsBlank="1" containsNumber="1">
        <n v="31.5"/>
        <n v="40.9"/>
        <n v="185.49"/>
        <n v="153.28"/>
        <n v="46.63"/>
        <n v="162.9"/>
        <n v="98.41"/>
        <n v="243.67"/>
        <n v="32.71"/>
        <n v="25.41"/>
        <n v="117.5"/>
        <n v="50.89"/>
        <n v="72.5"/>
        <n v="432.82"/>
        <n v="55.93"/>
        <n v="47.98"/>
        <n v="113.19"/>
        <n v="191.0"/>
        <n v="302.66"/>
        <n v="256.19"/>
        <n v="142.5"/>
        <n v="70.51"/>
        <n v="70.58"/>
        <n v="59.95"/>
        <n v="179.9"/>
        <n v="44.95"/>
        <n v="47.72"/>
        <n v="9.0"/>
        <n v="2.8"/>
        <n v="80.1"/>
        <n v="126.18"/>
        <n v="10.0"/>
        <n v="27.6"/>
        <n v="70.0"/>
        <n v="14.42"/>
        <n v="20.99"/>
        <n v="191.7"/>
        <n v="43.24"/>
        <n v="82.0"/>
        <n v="53.9"/>
        <n v="89.9"/>
        <n v="57.8"/>
        <n v="13.79"/>
        <n v="255.26"/>
        <n v="113.16"/>
        <n v="9.9"/>
        <n v="60.0"/>
        <n v="54.87"/>
        <n v="50.18"/>
        <n v="26.01"/>
        <n v="22.0"/>
        <n v="75.95"/>
        <n v="24.0"/>
        <n v="61.9"/>
        <n v="50.0"/>
        <n v="9.99"/>
        <n v="19.0"/>
        <n v="40.08"/>
        <n v="112.8"/>
        <n v="33.11"/>
        <n v="83.18"/>
        <n v="650.34"/>
        <n v="69.9"/>
        <n v="13.49"/>
        <n v="148.68"/>
        <n v="28.68"/>
        <n v="45.5"/>
        <n v="49.98"/>
        <n v="75.34"/>
        <n v="38.9"/>
        <n v="40.0"/>
        <n v="65.9"/>
        <n v="222.12"/>
        <n v="73.51"/>
        <n v="76.25"/>
        <n v="169.05"/>
        <n v="76.86"/>
        <n v="36.54"/>
        <n v="5.49"/>
        <n v="45.6"/>
        <n v="48.06"/>
        <n v="39.98"/>
        <n v="80.0"/>
        <n v="55.5"/>
        <n v="84.9"/>
        <n v="38.0"/>
        <n v="92.97"/>
        <n v="63.5"/>
        <n v="100.0"/>
        <n v="73.95"/>
        <n v="72.0"/>
        <n v="52.44"/>
        <n v="113.95"/>
        <n v="21.78"/>
        <n v="34.0"/>
        <n v="45.11"/>
        <n v="58.8"/>
        <m/>
      </sharedItems>
    </cacheField>
    <cacheField name="categoria" numFmtId="0">
      <sharedItems containsBlank="1">
        <s v="Adega"/>
        <s v="Assinatura"/>
        <s v="Carro"/>
        <s v="Compra"/>
        <s v="Compra parcelada"/>
        <s v="Fastfood"/>
        <s v="Gatos"/>
        <s v="Mãe"/>
        <s v="Mercado"/>
        <s v="Pedro"/>
        <s v="Viagem Carro"/>
        <s v="Viagem casa"/>
        <s v="Viagem passagens"/>
        <s v="Viagem passeio"/>
        <s v="Vitória"/>
        <s v="Lucas"/>
        <s v="Farmácia"/>
        <s v="Maguila"/>
        <s v="Contas de casa"/>
        <s v="Presente Pedro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53" sheet="Dez"/>
  </cacheSource>
  <cacheFields>
    <cacheField name="date" numFmtId="165">
      <sharedItems containsDate="1" containsString="0" containsBlank="1"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3T00:00:00Z"/>
        <d v="2025-12-24T00:00:00Z"/>
        <m/>
      </sharedItems>
    </cacheField>
    <cacheField name="title" numFmtId="0">
      <sharedItems containsBlank="1">
        <s v="Parcelamento de Compra - Mercadolivre*Mercadol - Caneta iPad Vitória - 2/2"/>
        <s v="Ls Sp Plaza Sul Sao Pa Pedro - Parcela 2/3"/>
        <s v="TRANCOSO RATATUR - 3/4"/>
        <s v="Parcelamento de Compra - Mercadolivre*Gprime - Controle PS5 - 2/2"/>
        <s v="SHPP BRASIL INSTITUICAO DE PAG - 2/2 - 38,43 Pedro"/>
        <s v="LG TV nova - Parcela 8/12"/>
        <s v="Cristianobenizda Pedro - Parcela 2/2"/>
        <s v="Dell - Parcela 4/6"/>
        <s v="Pedro Henrique Afonso de Camargo - 4/5"/>
        <s v="EBW*NuViagens - NuPay - Parcela 6/12"/>
        <s v="Youcom Fl - Parcela 3/4"/>
        <s v="Pg *Nuvem Winona Vitória - Parcela 2/3"/>
        <s v="Parcelamento de Compra - Aliexpress Controle 8bitdo Lucas - 2/2"/>
        <s v="Mercado Rocha"/>
        <s v="Carrefour Anchieta - Parcela 2/2"/>
        <s v="Nat*Natura Pagamentos Pedro - Parcela 2/2"/>
        <s v="Mercadolivre* iPad Vitória - Parcela 2/12"/>
        <s v="Kabum Cadeira escritório - Parcela 10/10"/>
        <s v="Airbnb * Hm8cksqf8d - Parcela 6/7"/>
        <s v="Mania Fashion Calcad Pedro - Parcela 2/2"/>
        <s v="Pg *Nuvem Jaspecompany Vitória - Parcela 2/2"/>
        <s v="Mercadolivre*Mercadol - Parcela 1/10"/>
        <s v="5m Comercio Atacadista"/>
        <s v="Ebn *Spotify"/>
        <s v="Mmsconviniencia - 35 Pedro"/>
        <s v="Estacionamentowa"/>
        <s v="Panificadora Nova Prin"/>
        <s v="Adega do Pio"/>
        <s v="99food *Madero Industr"/>
        <s v="Microsoft*Microsoft"/>
        <s v="99food *Miami Burger Pedro"/>
        <s v="Mp *Miamiburger"/>
        <s v="Drogaria Sao Paulo"/>
        <s v="Jim.Com* Adega Imperi"/>
        <s v="Mercadinho Jequitibas"/>
        <s v="Carrefour Anchieta Pedro - Parcela 1/2"/>
        <s v="99food *Danilo Rodrigu"/>
        <s v="Mp *Barbearia"/>
        <s v="Drogaria Carrefour Dan"/>
        <s v="Carrefour Anchieta Petz Pedro - Parcela 1/12"/>
        <s v="Carrefour Spa - 74,09 Pedro"/>
        <s v="Cotton On - Shopping"/>
        <s v="Mp *Mercadoeacougueroc"/>
        <s v="Grupo Leone Comercio D"/>
        <s v="Oakberry Acai Bowls"/>
        <s v="Tabacaria Carrefour"/>
        <s v="Google Youtube"/>
        <s v="99food *Outback Steakh"/>
        <s v="Sport Center Lanchonet"/>
        <s v="Posto Tancredo Neves"/>
        <s v="Netflix.Com"/>
        <s v="Nuuvem *Nuuvem - Parcela 1/3"/>
        <s v="99food *44.892.898 Mil"/>
        <s v="Assinatura HBO Max desconto Nubank"/>
        <s v="Mmsconviniencia - 72,70 Pedro"/>
        <s v="Stefe Bijouteria"/>
        <s v="Ab Ice Creams e Acai L"/>
        <s v="Mmsconviniencia"/>
        <s v="Msk Pasteis"/>
        <s v="Autopostoirmaos"/>
        <s v="Raia231 - Parcela 1/2"/>
        <s v="Swift Bosque da Saud"/>
        <s v="Sos Farma Lj"/>
        <s v="Carrefour Spa"/>
        <s v="Nuuvem *Nuuvem Pedro - Parcela 1/3"/>
        <s v="Adega do Pio - cervejas"/>
        <s v="Uber Uber *Trip Help.U"/>
        <s v="Adega do Pio - 47 Pedro"/>
        <s v="Pedro Henrique Afonso de Camargo"/>
        <s v="99food *Paola Morando"/>
        <s v="99food *60.875.645 Jes"/>
        <s v="CAVE CODE"/>
        <s v="Mercadolivre*Mercadol - Pedro"/>
        <s v="Carrefour Anchieta - Petz Lucas"/>
        <s v="Dia Brasil Lj"/>
        <s v="Restaurante Bom Temper"/>
        <s v="Wellhub Gympass Br Gym"/>
        <s v="Amazon Pedro"/>
        <s v="Google One"/>
        <s v="Mercado Ekonomix"/>
        <s v="OFICIAL DE REGISTRO CIVIL DAS PESSOAS NATURAIS DO 42 SUBDISTRITO - JABAQUARA DA COMARCA DA CAPITAL - SP"/>
        <s v="99food *Zamp S.A."/>
        <s v="OFICIAL DE REGISTRO CIVIL DAS PESSOAS NATURAIS 18 SUBDISTRITO"/>
        <s v="Oxxo Ibititowers"/>
        <s v="Adega Carrefour"/>
        <s v="Helios Chaveiro"/>
        <s v="Mp *Alissoncamarg Pedro"/>
        <s v="Autopostoirmaos Pedro"/>
        <s v="Rcv Estacionamento"/>
        <s v="Carrefour Anchieta"/>
        <s v="Sacolao Vila das Merce"/>
        <s v="Ebn *Capcut"/>
        <s v="Mp *Altashoras"/>
        <s v="Karinedeoliveira - Pedro"/>
        <s v="Goya Ipiranga - Pedro"/>
        <s v="Adriana Vieira de Mora"/>
        <s v="Marcinha Mini Mercado"/>
        <s v="Mp *Lamerkparfum"/>
        <s v="Plaza Sul"/>
        <s v="Mercadolivre*Mercadol - Poker - Parcela 1/3"/>
        <s v="Prato Favorito Anchiet"/>
        <s v="NuTag*EJL0D85"/>
        <s v="Allexiakotrine"/>
        <s v="Mp *Vini - suporte celular"/>
        <s v="Ponto da Esfiha M"/>
        <s v="G B Sp Comercio de - Parcela 1/6"/>
        <s v="Ajr Radiadores e Ar Co - Parcela 1/3"/>
        <s v="Posto Lyon"/>
        <s v="Autozone"/>
        <s v="Parcelamento de compra Bethtabacariae - Parcela 1/3"/>
        <m/>
      </sharedItems>
    </cacheField>
    <cacheField name="amount" numFmtId="164">
      <sharedItems containsString="0" containsBlank="1" containsNumber="1">
        <n v="73.51"/>
        <n v="650.33"/>
        <n v="70.51"/>
        <n v="169.05"/>
        <n v="76.86"/>
        <n v="243.67"/>
        <n v="70.58"/>
        <n v="255.25"/>
        <n v="432.82"/>
        <n v="113.19"/>
        <n v="142.5"/>
        <n v="47.72"/>
        <n v="75.34"/>
        <n v="113.16"/>
        <n v="17.88"/>
        <n v="113.95"/>
        <n v="126.18"/>
        <n v="222.08"/>
        <n v="98.41"/>
        <n v="256.19"/>
        <n v="69.99"/>
        <n v="63.5"/>
        <n v="264.9"/>
        <n v="163.89"/>
        <n v="40.9"/>
        <n v="70.5"/>
        <n v="25.0"/>
        <n v="12.17"/>
        <n v="12.0"/>
        <n v="49.0"/>
        <n v="9.0"/>
        <n v="106.6"/>
        <n v="51.8"/>
        <n v="50.0"/>
        <n v="38.07"/>
        <n v="14.0"/>
        <n v="33.98"/>
        <n v="146.25"/>
        <n v="37.73"/>
        <n v="70.0"/>
        <n v="26.9"/>
        <n v="6.9"/>
        <n v="136.47"/>
        <n v="112.34"/>
        <n v="10.98"/>
        <n v="23.0"/>
        <n v="19.04"/>
        <n v="20.99"/>
        <n v="100.0"/>
        <n v="53.9"/>
        <n v="45.01"/>
        <n v="11.0"/>
        <n v="317.02"/>
        <n v="57.8"/>
        <n v="32.41"/>
        <n v="31.1"/>
        <n v="14.9"/>
        <n v="145.4"/>
        <n v="4.0"/>
        <n v="23.06"/>
        <n v="51.0"/>
        <n v="10.9"/>
        <n v="46.9"/>
        <n v="36.0"/>
        <n v="96.05"/>
        <n v="82.17"/>
        <n v="53.83"/>
        <n v="105.95"/>
        <n v="37.0"/>
        <n v="36.98"/>
        <n v="94.0"/>
        <n v="111.79"/>
        <n v="45.9"/>
        <n v="55.98"/>
        <n v="77.25"/>
        <n v="49.8"/>
        <n v="28.0"/>
        <n v="39.98"/>
        <n v="6.49"/>
        <n v="13.54"/>
        <n v="60.0"/>
        <n v="89.9"/>
        <n v="36.5"/>
        <n v="9.99"/>
        <n v="15.52"/>
        <n v="69.29"/>
        <n v="51.88"/>
        <n v="41.31"/>
        <n v="39.12"/>
        <n v="55.75"/>
        <n v="22.0"/>
        <n v="30.0"/>
        <n v="42.0"/>
        <n v="82.29"/>
        <n v="20.0"/>
        <n v="31.94"/>
        <n v="66.0"/>
        <n v="48.48"/>
        <n v="65.9"/>
        <n v="7.0"/>
        <n v="90.0"/>
        <n v="1.0"/>
        <n v="78.0"/>
        <n v="133.95"/>
        <n v="6.8"/>
        <n v="22.99"/>
        <n v="21.9"/>
        <n v="76.34"/>
        <n v="38.98"/>
        <n v="85.59"/>
        <n v="34.0"/>
        <n v="75.0"/>
        <n v="7.5"/>
        <n v="96.65"/>
        <n v="143.34"/>
        <n v="49.98"/>
        <n v="112.6"/>
        <m/>
      </sharedItems>
    </cacheField>
    <cacheField name="categoria" numFmtId="0">
      <sharedItems containsBlank="1">
        <s v="Vitória"/>
        <s v="Vander"/>
        <s v="Viagem passeio"/>
        <s v="Lucas"/>
        <s v="PH e Lucas"/>
        <s v="Compra parcelada"/>
        <s v="Pedro"/>
        <s v="Mãe"/>
        <s v="Viagem passagens"/>
        <s v="Mercado"/>
        <s v="Viagem casa"/>
        <s v="Assinatura"/>
        <s v="Carro"/>
        <s v="Adega"/>
        <s v="Fastfood"/>
        <s v="Farmácia"/>
        <s v="Presente Sthe"/>
        <s v="Futebol"/>
        <s v="Canais Dark"/>
        <s v="Gatos"/>
        <s v="Cartório"/>
        <s v="Maguila"/>
        <s v="Não identificado"/>
        <s v="Farmacia"/>
        <s v="Viagem Adega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93" sheet="Jan26"/>
  </cacheSource>
  <cacheFields>
    <cacheField name="date" numFmtId="165">
      <sharedItems containsDate="1" containsString="0" containsBlank="1"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6T00:00:00Z"/>
        <d v="2026-01-25T00:00:00Z"/>
        <m/>
      </sharedItems>
    </cacheField>
    <cacheField name="title" numFmtId="0">
      <sharedItems containsBlank="1">
        <s v="Kiskonofre - Quiosque"/>
        <s v="Adega Bebs Tudo"/>
        <s v="Cybercomp - Sorveteria"/>
        <s v="Dell - Parcela 5/6"/>
        <s v="Nuuvem *Nuuvem - Parcela 2/3"/>
        <s v="Posto Tancredo Neves"/>
        <s v="TRANCOSO RATATUR - 4/4"/>
        <s v="Ajr Radiadores e Ar Co - Parcela 2/3"/>
        <s v="Mercadolivre* iPad Vitória - Parcela 3/12"/>
        <s v="Parcelamento de Compra - Bethtabacariae - 2/3"/>
        <s v="Domquixote"/>
        <s v="Pedro Henrique Afonso de Camargo - 5/5"/>
        <s v="EBW*NuViagens - NuPay - Parcela 7/12"/>
        <s v="Raia231 - Parcela 2/2"/>
        <s v="Airbnb * Hm8cksqf8d - Parcela 7/7"/>
        <s v="Mercadolivre*Mercadol - Note Pedro - Parcela 2/10"/>
        <s v="1 CART REG PES NATURAIS SE - 2/2"/>
        <s v="LG TV nova - Parcela 9/12"/>
        <s v="Carrefour Anchieta Pedro - Parcela 2/2"/>
        <s v="Nuuvem *Nuuvem Pedro - Parcela 2/3"/>
        <s v="G B Sp Comercio de - Pneus Carro - Parcela 2/6"/>
        <s v="Youcom Fl - Parcela 4/4"/>
        <s v="Carrefour Anchieta Petz Pedro - Parcela 2/12"/>
        <s v="Ebn *Spotify"/>
        <s v="Ls Sp Plaza Sul Sao Pa Pedro - Parcela 3/3"/>
        <s v="Mercadolivre*Mercadol - Poker - Parcela 2/3"/>
        <s v="Billy Bruto Hamburguer"/>
        <s v="Jr Ribeiro da Silva A - Açougue"/>
        <s v="Hortifruti"/>
        <s v="Gs Drogaria"/>
        <s v="Comercial Peck de Alim - Mercado"/>
        <s v="Comercial Peck de Alim"/>
        <s v="Bar da Praia Martim de"/>
        <s v="R R Sorvetes Filial"/>
        <s v="Microsoft*Microsoft"/>
        <s v="Gs Drogaria - creme duda"/>
        <s v="Jurandirgarcia"/>
        <s v="Barracadatata"/>
        <s v="Mp *Fell"/>
        <s v="Bare Auto Posto"/>
        <s v="Oggi Sorvetes"/>
        <s v="Quiosque do Expedito"/>
        <s v="NuTag*EJL0D85"/>
        <s v="Estefanidesouzasi"/>
        <s v="Mercado Boa Vista de C"/>
        <s v="Quiosque Jamaica"/>
        <s v="Google Youtube"/>
        <s v="Crédito de parcelamento de compra"/>
        <s v="Parcelamento de Compra - Jurandirgarcia - 1/3"/>
        <s v="Parcelamento de Compra - Cybercomp - Sorveteria - 1/3"/>
        <s v="Farmacondeloja711"/>
        <s v="Parcelamento de Compra - Comercial Peck de Alim - 1/3"/>
        <s v="Parcelamento de Compra - Adega Bebs Tudo - 1/3"/>
        <s v="Parcelamento de Compra - Bar da Praia Martim de - 1/3"/>
        <s v="Carrefour Anchieta"/>
        <s v="Parcelamento de Compra - Comercial Peck de Alim - Mercado - 1/3"/>
        <s v="Parcelamento de Compra - Hortifruti - 1/3"/>
        <s v="Parcelamento de Compra - Billy Bruto Hamburguer - 1/3"/>
        <s v="Parcelamento de Compra - Domquixote - 1/3"/>
        <s v="Parcelamento de Compra - Mp *Fell - 1/3"/>
        <s v="CAVE CODE"/>
        <s v="Parcelamento de Compra - Kiskonofre - Quiosque - 1/3"/>
        <s v="Mayara Kalikian"/>
        <s v="Drogaria Sao Paulo"/>
        <s v="Parcelamento de Compra - Jr Ribeiro da Silva A - Açougue - 1/3"/>
        <s v="Parcelamento de Compra - Barracadatata - 1/3"/>
        <s v="Netflix Entretenimento"/>
        <s v="Parcelamento de Compra - Mercado Boa Vista de C - 1/3"/>
        <s v="Parcelamento de Compra - Quiosque Jamaica - 1/3"/>
        <s v="Parcelamento de Compra - Posto Tancredo Neves - 1/3"/>
        <s v="Parcelamento de Compra - Quiosque do Expedito - 1/3"/>
        <s v="Eduardohiroshi"/>
        <s v="Parcelamento de Compra - Bare Auto Posto - 1/3"/>
        <s v="Mercado Rocha"/>
        <s v="Parcelamento de Compra - Estefanidesouzasi - 1/3"/>
        <s v="Carrefour Anchieta - Pedro"/>
        <s v="Petz Carrefour Imigran - Parcela 1/2"/>
        <s v="00052 Sh Plaza Sul - Parcela 1/2"/>
        <s v="Carrefour Spa - Petz Pedro"/>
        <s v="Null - adega carrefour"/>
        <s v="Mp *Lamerkparfum"/>
        <s v="Plaza Sul - Starbucks"/>
        <s v="Carrefour 388 Pan"/>
        <s v="Assinatura HBO Max desconto Nubank"/>
        <s v="Alessandronicotra - sorvete"/>
        <s v="Tennessee Taboao Carn"/>
        <s v="IOF de compra internacional"/>
        <s v="Ajuste a crédito"/>
        <s v="Xai Llc - API GROK"/>
        <s v="Seiki - GOYA Vitória"/>
        <s v="Estacionamentowa"/>
        <s v="Thiagogomesdasilv - gás Pedro"/>
        <s v="99food *Madero Industr"/>
        <s v="Adriana Vieira de Mora - Pedro"/>
        <s v="Mmsconviniencia - adega"/>
        <s v="Wellhub Gympass Br Wel"/>
        <s v="Alessandronicotra"/>
        <s v="Postomariaestela - aditivo celta"/>
        <s v="Mmsconviniencia"/>
        <s v="Pizzaria e Restaurante"/>
        <s v="Gersonmassahiroos"/>
        <s v="Hortifruti Ml Ii"/>
        <s v="Google One"/>
        <s v="Mp *Barbearia"/>
        <s v="Remediopopular"/>
        <s v="Pedro Henrique Afonso de Camargo"/>
        <s v="Ebn*Capcut"/>
        <s v="Daiso Brasil"/>
        <s v="Sp Mega Sh Plaza Sul"/>
        <s v="99food *Italin House V"/>
        <s v="Barao Lanches"/>
        <s v="Drogaria Maximed Tabo"/>
        <s v="Carrefour Spa"/>
        <s v="Carrefour 388 Pan - carro"/>
        <s v="Postomariaestela - Pedro"/>
        <s v="Null - adega"/>
        <s v="99food *la Belle Doces"/>
        <s v="Mar Cristal Paes e"/>
        <s v="99food *Point do Gord"/>
        <s v="Gomes Minimercado - Pedro"/>
        <s v="Postocomaris - Pedro"/>
        <s v="Mmsconviniencia - adega metade pedro"/>
        <s v="Mercadinho Jd Botucatu - RL games"/>
        <s v="99food *Arcos Dourados"/>
        <s v="Mp *Lamerkparfum - Pedro"/>
        <s v="Sacolao Vila das Merce"/>
        <m/>
      </sharedItems>
    </cacheField>
    <cacheField name="amount" numFmtId="164">
      <sharedItems containsString="0" containsBlank="1" containsNumber="1">
        <n v="67.1"/>
        <n v="75.5"/>
        <n v="48.0"/>
        <n v="432.82"/>
        <n v="32.39"/>
        <n v="236.7"/>
        <n v="70.51"/>
        <n v="143.33"/>
        <n v="222.08"/>
        <n v="112.6"/>
        <n v="315.59"/>
        <n v="113.19"/>
        <n v="142.49"/>
        <n v="70.58"/>
        <n v="96.05"/>
        <n v="256.19"/>
        <n v="264.9"/>
        <n v="93.92"/>
        <n v="243.67"/>
        <n v="146.24"/>
        <n v="96.63"/>
        <n v="47.72"/>
        <n v="6.9"/>
        <n v="40.9"/>
        <n v="650.33"/>
        <n v="76.33"/>
        <n v="298.1"/>
        <n v="31.67"/>
        <n v="1.17"/>
        <n v="82.0"/>
        <n v="6.99"/>
        <n v="14.0"/>
        <n v="292.07"/>
        <n v="111.31"/>
        <n v="13.4"/>
        <n v="96.7"/>
        <n v="32.0"/>
        <n v="13.5"/>
        <n v="9.0"/>
        <n v="25.49"/>
        <n v="45.0"/>
        <n v="110.0"/>
        <n v="75.0"/>
        <n v="40.0"/>
        <n v="13.0"/>
        <n v="94.7"/>
        <n v="174.0"/>
        <n v="52.0"/>
        <n v="33.59"/>
        <n v="26.24"/>
        <n v="316.0"/>
        <n v="5.5"/>
        <n v="135.93"/>
        <n v="350.0"/>
        <n v="12.3"/>
        <n v="5.8"/>
        <n v="5.7"/>
        <n v="5.4"/>
        <n v="32.48"/>
        <n v="44.0"/>
        <n v="20.16"/>
        <n v="53.9"/>
        <n v="28.0"/>
        <n v="-40.0"/>
        <n v="-48.0"/>
        <n v="-292.07"/>
        <n v="-96.7"/>
        <n v="-94.7"/>
        <n v="-75.5"/>
        <n v="-350.0"/>
        <n v="-315.59"/>
        <n v="-45.0"/>
        <n v="-52.0"/>
        <n v="-75.0"/>
        <n v="-67.1"/>
        <n v="-135.93"/>
        <n v="-31.67"/>
        <n v="-110.0"/>
        <n v="-111.31"/>
        <n v="-174.0"/>
        <n v="-32.48"/>
        <n v="-82.0"/>
        <n v="-44.0"/>
        <n v="-32.0"/>
        <n v="-316.0"/>
        <n v="-298.1"/>
        <n v="-33.59"/>
        <n v="-236.7"/>
        <n v="15.83"/>
        <n v="16.88"/>
        <n v="12.99"/>
        <n v="33.31"/>
        <n v="26.56"/>
        <n v="34.02"/>
        <n v="30.97"/>
        <n v="102.76"/>
        <n v="14.07"/>
        <n v="104.88"/>
        <n v="18.29"/>
        <n v="111.04"/>
        <n v="26.38"/>
        <n v="47.82"/>
        <n v="30.51"/>
        <n v="156.6"/>
        <n v="23.61"/>
        <n v="123.14"/>
        <n v="42.21"/>
        <n v="11.14"/>
        <n v="38.7"/>
        <n v="57.8"/>
        <n v="11.42"/>
        <n v="15.48"/>
        <n v="28.84"/>
        <n v="11.25"/>
        <n v="83.28"/>
        <n v="11.81"/>
        <n v="111.18"/>
        <n v="13.74"/>
        <n v="61.22"/>
        <n v="39.16"/>
        <n v="19.25"/>
        <n v="65.7"/>
        <n v="108.0"/>
        <n v="69.95"/>
        <n v="113.14"/>
        <n v="115.0"/>
        <n v="20.0"/>
        <n v="3.5"/>
        <n v="49.8"/>
        <n v="258.95"/>
        <n v="14.9"/>
        <n v="33.0"/>
        <n v="447.91"/>
        <n v="0.97"/>
        <n v="-0.97"/>
        <n v="27.88"/>
        <n v="28.47"/>
        <n v="25.0"/>
        <n v="125.0"/>
        <n v="47.19"/>
        <n v="7.0"/>
        <n v="56.5"/>
        <n v="89.9"/>
        <n v="38.0"/>
        <n v="215.0"/>
        <n v="13.08"/>
        <n v="13.99"/>
        <n v="9.99"/>
        <n v="37.0"/>
        <n v="63.12"/>
        <n v="65.64"/>
        <n v="30.0"/>
        <n v="65.9"/>
        <n v="38.96"/>
        <n v="34.98"/>
        <n v="49.19"/>
        <n v="61.0"/>
        <n v="31.0"/>
        <n v="34.0"/>
        <n v="22.77"/>
        <n v="19.19"/>
        <n v="150.0"/>
        <n v="70.0"/>
        <n v="34.99"/>
        <n v="17.0"/>
        <n v="24.0"/>
        <n v="28.35"/>
        <n v="38.11"/>
        <n v="27.0"/>
        <n v="57.22"/>
        <n v="67.13"/>
        <n v="100.0"/>
        <n v="91.5"/>
        <n v="9.5"/>
        <n v="76.35"/>
        <n v="38.22"/>
        <n v="54.0"/>
        <n v="14.57"/>
        <n v="12.5"/>
        <n v="26.0"/>
        <n v="85.68"/>
        <n v="40.57"/>
        <m/>
      </sharedItems>
    </cacheField>
    <cacheField name="categoria" numFmtId="0">
      <sharedItems containsBlank="1">
        <s v="Caraguá"/>
        <s v="Mãe"/>
        <s v="Assinatura"/>
        <s v="Carro"/>
        <s v="Viagem passeios"/>
        <s v="Vitória"/>
        <s v="Pedro"/>
        <s v="Viagem passagem"/>
        <s v="Farmácia"/>
        <s v="Viagem casa"/>
        <s v="Cartório"/>
        <s v="Compra parcelada"/>
        <s v="Wander"/>
        <s v="Mercado"/>
        <s v="Canal Dark"/>
        <s v="Gatos"/>
        <s v="Lucas"/>
        <s v="Adega"/>
        <s v="Fastfood"/>
        <s v="Resenha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83" sheet="Fev26"/>
  </cacheSource>
  <cacheFields>
    <cacheField name="date" numFmtId="165">
      <sharedItems containsDate="1" containsString="0" containsBlank="1">
        <d v="2026-01-27T00:00:00Z"/>
        <d v="2026-01-28T00:00:00Z"/>
        <d v="2026-01-29T00:00:00Z"/>
        <d v="2026-01-30T00:00:00Z"/>
        <d v="2026-01-31T00:00:00Z"/>
        <d v="2026-02-02T00:00:00Z"/>
        <d v="2026-02-01T00:00:00Z"/>
        <d v="2026-02-03T00:00:00Z"/>
        <d v="2026-02-04T00:00:00Z"/>
        <d v="2026-02-05T00:00:00Z"/>
        <d v="2026-02-07T00:00:00Z"/>
        <d v="2026-02-06T00:00:00Z"/>
        <d v="2026-02-08T00:00:00Z"/>
        <d v="2026-02-09T00:00:00Z"/>
        <d v="2026-02-10T00:00:00Z"/>
        <d v="2026-02-11T00:00:00Z"/>
        <d v="2026-02-12T00:00:00Z"/>
        <d v="2026-02-15T00:00:00Z"/>
        <d v="2026-02-13T00:00:00Z"/>
        <d v="2026-02-14T00:00:00Z"/>
        <d v="2026-02-22T00:00:00Z"/>
        <d v="2026-02-21T00:00:00Z"/>
        <d v="2026-02-16T00:00:00Z"/>
        <d v="2026-02-17T00:00:00Z"/>
        <d v="2026-02-20T00:00:00Z"/>
        <d v="2026-02-19T00:00:00Z"/>
        <d v="2026-02-18T00:00:00Z"/>
        <m/>
      </sharedItems>
    </cacheField>
    <cacheField name="title" numFmtId="0">
      <sharedItems containsBlank="1">
        <s v="Dell - Parcela 6/6"/>
        <s v="Mercadolivre*Mercadol - Note Pedro - Parcela 3/10"/>
        <s v="LG TV nova - Parcela 10/12"/>
        <s v="Mercadolivre* iPad Vitória - Parcela 4/12"/>
        <s v="Ajr Radiadores e Ar Co - Parcela 3/3"/>
        <s v="EBW*NuViagens - NuPay - Parcela 8/12"/>
        <s v="Parcelamento de Compra - Adega Bebs Tudo - 2/3"/>
        <s v="Parcelamento de Compra - Bethtabacariae - 3/3"/>
        <s v="Parcelamento de Compra - Quiosque do Expedito - 2/3"/>
        <s v="Parcelamento de Compra - Domquixote - 2/3"/>
        <s v="Petz Carrefour Imigran - Parcela 2/2"/>
        <s v="Parcelamento de Compra - Billy Bruto Hamburguer - 2/3"/>
        <s v="Parcelamento de Compra - Comercial Peck de Alim - Mercado - 2/3"/>
        <s v="G B Sp Comercio de - Pneus Carro - Parcela 3/6"/>
        <s v="Parcelamento de Compra - Posto Tancredo Neves - 2/3"/>
        <s v="Mercadolivre*Mercadol - Poker - Parcela 3/3"/>
        <s v="00052 Sh Plaza Sul - Parcela 2/2"/>
        <s v="Parcelamento de Compra - Bare Auto Posto - 2/3"/>
        <s v="Parcelamento de Compra - Comercial Peck de Alim - 2/3"/>
        <s v="Ebn *Spotify"/>
        <s v="Parcelamento de Compra - Barracadatata - 2/3"/>
        <s v="Parcelamento de Compra - Bar da Praia Martim de - 2/3"/>
        <s v="Nuuvem *Nuuvem Pedro - Parcela 3/3"/>
        <s v="Nuuvem *Nuuvem - Parcela 3/3"/>
        <s v="Keeta - Pedro"/>
        <s v="Parcelamento de Compra - Mp *Fell - 2/3"/>
        <s v="Parcelamento de Compra - Kiskonofre - Quiosque - 2/3"/>
        <s v="Parcelamento de Compra - Cybercomp - Sorveteria - 2/3"/>
        <s v="Carrefour Spa"/>
        <s v="Parcelamento de Compra - Jurandirgarcia - 2/3"/>
        <s v="Parcelamento de Compra - Quiosque Jamaica - 2/3"/>
        <s v="Parcelamento de Compra - Estefanidesouzasi - 2/3"/>
        <s v="Parcelamento de Compra - Hortifruti - 2/3"/>
        <s v="Parcelamento de Compra - Mercado Boa Vista de C - 2/3"/>
        <s v="Parcelamento de Compra - Jr Ribeiro da Silva A - Açougue - 2/3"/>
        <s v="Carrefour Anchieta Petz Pedro - Parcela 3/12"/>
        <s v="Carrefour Anchieta - Pedro"/>
        <s v="Carrefour - Adega"/>
        <s v="99food *Ital In House"/>
        <s v="Swift Bosque da Saud"/>
        <s v="Monica - espetos"/>
        <s v="Carrefour 388 Pan"/>
        <s v="Asa*Cave Code Desenvol"/>
        <s v="Zul 2 Cartoes 1vyttp"/>
        <s v="Dia"/>
        <s v="Microsoft*Microsoft"/>
        <s v="Zul 1 Cartao 1w19w5"/>
        <s v="Fhoto Bazar Nova Se"/>
        <s v="Mp *Barbearia"/>
        <s v="Mmsconviniencia"/>
        <s v="Acquacel Celulares - Pedro"/>
        <s v="Mp *Valcam - Carro mecânico"/>
        <s v="Trigo Bom"/>
        <s v="Trigo Bom Paes Doce"/>
        <s v="Uber Uber * Pending"/>
        <s v="NuTag*EJL0D85"/>
        <s v="Pg *Pare Azul Pareazul"/>
        <s v="Pizzaria Dona Firmina - Pedro"/>
        <s v="Ab Ice Creams e Acai L - Pedro"/>
        <s v="Uber Uber *Trip Help.U"/>
        <s v="Google Youtube"/>
        <s v="Mp *Lamerkparfum - Pedro"/>
        <s v="Ab Ice Creams e Acai L"/>
        <s v="Netflix.Com"/>
        <s v="Autopostoirmaos - Pedro"/>
        <s v="Mercadinho Jd Botucatu"/>
        <s v="Mmsconviniencia - Pedro"/>
        <s v="Mercadolivre*3produto"/>
        <s v="Centro Medico Veterina - Pedro"/>
        <s v="Mercadolivre*3produto - Parcela 1/2"/>
        <s v="Sacolao Vila das Merce"/>
        <s v="Carrefour - Carro"/>
        <s v="Petz - Gatos - Parcela 1/2"/>
        <s v="Mmsconviniencia - Adega Pedro"/>
        <s v="Null - Adega"/>
        <s v="Estacionamentowa"/>
        <s v="Cristal - bolsa vitória"/>
        <s v="Assinatura HBO Max desconto Nubank"/>
        <s v="Uber - Pedro"/>
        <s v="Mp *Easyoilbr - Velas Celta - Parcela 1/2"/>
        <s v="Chiquinho Sorvetes"/>
        <s v="Carrefour - Pedro"/>
        <s v="Drogaria Sao Paulo"/>
        <s v="Si Senor"/>
        <s v="Ifd*Cursi e Albieri Co"/>
        <s v="Karinedeoliveira - Pedro"/>
        <s v="Mp *Valcam - Parcela 1/2"/>
        <s v="Wellhub Gympass Br Wel"/>
        <s v="Mercado Rocha"/>
        <s v="Amazon - Parcela 1/5"/>
        <s v="63541018william"/>
        <s v="Raia231"/>
        <s v="Carrefour Anchieta"/>
        <s v="Google One"/>
        <s v="Central de Variedades"/>
        <s v="Mercadolivre*3produtos"/>
        <s v="Uniao Comercio Atacad"/>
        <s v="Shopping da Utilidade"/>
        <s v="Havan Braganca Paulist - Parcela 1/2"/>
        <s v="Kee*Miami Burger"/>
        <s v="Tasca"/>
        <s v="Mercadao Supermercados"/>
        <s v="Ebn*Capcut - 1/3 Pedro e 1/3 Siqueto"/>
        <s v="Mr. Ice"/>
        <s v="Mobly Comercio Varejis - Parcela 1/10"/>
        <s v="Swift Braganca Paulis"/>
        <s v="Varejao Kifruta"/>
        <s v="Telhanorte - Braganca"/>
        <s v="G P Baptista"/>
        <s v="Rmdegodoi"/>
        <s v="Fevereiro"/>
        <s v="Sm Supermercados Mendo"/>
        <s v="Jdaguas"/>
        <s v="Dona Baunilha Atibaia"/>
        <s v="Hh Saude"/>
        <s v="Puro Cioccolato"/>
        <s v="Gomes Minimercado"/>
        <s v="Piza Zero Zero"/>
        <s v="Kee*Miami Burger - Metade"/>
        <s v="Camilasayuri - pasteis"/>
        <s v="Zae Braganca"/>
        <s v="Mp *Novaera"/>
        <s v="Joseaparecido"/>
        <s v="Irmaos Russi"/>
        <s v="Panificadora Bolini"/>
        <s v="Administradora"/>
        <s v="Jim.Com* 35648572 Gab"/>
        <s v="Acai Mr Ice"/>
        <s v="Rede Bazzar Atibaia Ei"/>
        <m/>
      </sharedItems>
    </cacheField>
    <cacheField name="amount" numFmtId="164">
      <sharedItems containsString="0" containsBlank="1" containsNumber="1">
        <n v="432.82"/>
        <n v="264.9"/>
        <n v="243.67"/>
        <n v="222.08"/>
        <n v="143.33"/>
        <n v="142.49"/>
        <n v="123.14"/>
        <n v="112.6"/>
        <n v="111.18"/>
        <n v="111.04"/>
        <n v="108.0"/>
        <n v="104.88"/>
        <n v="102.76"/>
        <n v="96.63"/>
        <n v="83.28"/>
        <n v="76.33"/>
        <n v="69.95"/>
        <n v="61.22"/>
        <n v="47.82"/>
        <n v="40.9"/>
        <n v="39.16"/>
        <n v="38.7"/>
        <n v="34.02"/>
        <n v="33.31"/>
        <n v="32.39"/>
        <n v="30.6"/>
        <n v="28.84"/>
        <n v="26.56"/>
        <n v="26.38"/>
        <n v="23.61"/>
        <n v="18.29"/>
        <n v="16.88"/>
        <n v="16.59"/>
        <n v="15.83"/>
        <n v="15.48"/>
        <n v="14.07"/>
        <n v="11.81"/>
        <n v="11.42"/>
        <n v="11.25"/>
        <n v="11.14"/>
        <n v="6.9"/>
        <n v="237.79"/>
        <n v="93.51"/>
        <n v="19.8"/>
        <n v="10.0"/>
        <n v="274.48"/>
        <n v="150.0"/>
        <n v="13.9"/>
        <n v="12.49"/>
        <n v="9.0"/>
        <n v="6.95"/>
        <n v="4.0"/>
        <n v="75.0"/>
        <n v="45.0"/>
        <n v="40.0"/>
        <n v="33.0"/>
        <n v="23.5"/>
        <n v="11.99"/>
        <n v="3.2"/>
        <n v="2.0"/>
        <n v="83.0"/>
        <n v="44.81"/>
        <n v="70.9"/>
        <n v="11.98"/>
        <n v="53.9"/>
        <n v="12.0"/>
        <n v="25.17"/>
        <n v="34.42"/>
        <n v="57.8"/>
        <n v="227.62"/>
        <n v="26.0"/>
        <n v="11.49"/>
        <n v="76.9"/>
        <n v="150.82"/>
        <n v="140.0"/>
        <n v="49.0"/>
        <n v="27.23"/>
        <n v="249.31"/>
        <n v="59.93"/>
        <n v="99.98"/>
        <n v="79.9"/>
        <n v="30.0"/>
        <n v="20.0"/>
        <n v="14.9"/>
        <n v="37.99"/>
        <n v="42.63"/>
        <n v="19.0"/>
        <n v="20.96"/>
        <n v="22.0"/>
        <n v="30.31"/>
        <n v="15.58"/>
        <n v="35.89"/>
        <n v="32.3"/>
        <n v="185.0"/>
        <n v="12.5"/>
        <n v="9.13"/>
        <n v="247.5"/>
        <n v="99.99"/>
        <n v="44.0"/>
        <n v="21.08"/>
        <n v="10.97"/>
        <n v="95.0"/>
        <n v="35.0"/>
        <n v="79.99"/>
        <n v="33.99"/>
        <n v="19.99"/>
        <n v="9.99"/>
        <n v="65.0"/>
        <n v="154.0"/>
        <n v="163.71"/>
        <n v="144.59"/>
        <n v="136.93"/>
        <n v="64.98"/>
        <n v="66.49"/>
        <n v="46.83"/>
        <n v="11.0"/>
        <n v="31.96"/>
        <n v="3.59"/>
        <n v="65.9"/>
        <n v="26.05"/>
        <n v="285.19"/>
        <n v="65.8"/>
        <n v="30.98"/>
        <n v="28.47"/>
        <n v="18.9"/>
        <n v="7.0"/>
        <n v="3.1"/>
        <n v="77.66"/>
        <n v="77.34"/>
        <n v="13.0"/>
        <n v="93.94"/>
        <n v="230.0"/>
        <n v="77.89"/>
        <n v="35.53"/>
        <n v="68.0"/>
        <n v="89.75"/>
        <n v="60.0"/>
        <n v="5.0"/>
        <n v="100.0"/>
        <n v="21.98"/>
        <n v="24.0"/>
        <n v="80.0"/>
        <n v="46.0"/>
        <n v="36.27"/>
        <n v="39.44"/>
        <n v="21.3"/>
        <n v="32.96"/>
        <m/>
      </sharedItems>
    </cacheField>
    <cacheField name="categoria" numFmtId="0">
      <sharedItems containsBlank="1">
        <s v="Mãe"/>
        <s v="Pedro"/>
        <s v="Compra parcelada"/>
        <s v="Vitória"/>
        <s v="Carro"/>
        <s v="Viagem passaem"/>
        <s v="Caraguá"/>
        <s v="Gatos"/>
        <s v="Lucas"/>
        <s v="Assinatura"/>
        <s v="Mercado"/>
        <s v="Adega"/>
        <s v="Fastfood"/>
        <s v="Canal Dark"/>
        <s v="Documentos"/>
        <s v="Mudança"/>
        <s v="Uber"/>
        <s v="Compra"/>
        <s v="Farmácia"/>
        <s v="Compra Bragança"/>
        <s v="Role despedida"/>
        <s v="Pedro - Março"/>
        <s v="Sofá"/>
        <s v="Bolo Bragança"/>
        <s v="Comida Aniversário"/>
        <s v="Vacina Vitória"/>
        <s v="Pedro e Lucas"/>
        <s v="Pedro e Lucas - Março"/>
        <s v="Shopping"/>
        <s v="Cabeleireiro"/>
        <s v="Sorveteria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83" sheet="Fev Vitoria"/>
  </cacheSource>
  <cacheFields>
    <cacheField name="date" numFmtId="167">
      <sharedItems containsDate="1" containsString="0" containsBlank="1">
        <d v="2026-02-15T00:00:00Z"/>
        <d v="2026-02-23T00:00:00Z"/>
        <d v="2026-01-31T00:00:00Z"/>
        <d v="2026-02-05T00:00:00Z"/>
        <d v="2026-01-27T00:00:00Z"/>
        <d v="2026-02-22T00:00:00Z"/>
        <d v="2026-02-21T00:00:00Z"/>
        <d v="2026-02-03T00:00:00Z"/>
        <d v="2026-02-14T00:00:00Z"/>
        <d v="2026-02-13T00:00:00Z"/>
        <d v="2026-02-12T00:00:00Z"/>
        <d v="2026-01-29T00:00:00Z"/>
        <d v="2026-02-04T00:00:00Z"/>
        <d v="2026-02-01T00:00:00Z"/>
        <d v="2026-02-09T00:00:00Z"/>
        <d v="2026-01-30T00:00:00Z"/>
        <m/>
      </sharedItems>
    </cacheField>
    <cacheField name="title" numFmtId="0">
      <sharedItems containsBlank="1">
        <s v="Centro Comercial Aveni"/>
        <s v="Churras Express - Metade Pedro e Duda"/>
        <s v="Outback Plaza Sul"/>
        <s v="Mp *Luh"/>
        <s v="Sodimac Parcela 5/5"/>
        <s v="Riachuelo-Sp Parcela 1/3"/>
        <s v="iFood"/>
        <s v="Cobasi Comercio de Pro"/>
        <s v="Lojas Renner Fl Parcela 1/2"/>
        <s v="Flnc Cursos Digitais Parcela 4/12"/>
        <s v="TIM S A "/>
        <s v="Amazon Parcela 10/12"/>
        <s v="Naroltda"/>
        <s v="Sbscrestaurante"/>
        <s v="KeetaBR"/>
        <s v="Gran Educacao Parcela 8/12"/>
        <s v="Formatura Lucas Parcela 4/10"/>
        <s v="Uber Uber *Trip Help.U"/>
        <s v="04 FEV Applecombill"/>
        <s v="Alemagri Petshop"/>
        <s v="A B B Comercio de Pr"/>
        <s v="03 FEV Applecombill"/>
        <s v="Tatiana Cristina Alves"/>
        <s v="Mercado Rocha"/>
        <s v="Sandraregina"/>
        <s v="Adriana Vieira de Mora"/>
        <m/>
      </sharedItems>
    </cacheField>
    <cacheField name="amount" numFmtId="164">
      <sharedItems containsString="0" containsBlank="1" containsNumber="1">
        <n v="412.32"/>
        <n v="227.0"/>
        <n v="176.4"/>
        <n v="150.0"/>
        <n v="117.01"/>
        <n v="116.66"/>
        <n v="113.88"/>
        <n v="69.78"/>
        <n v="59.95"/>
        <n v="59.92"/>
        <n v="59.26"/>
        <n v="52.97"/>
        <n v="44.91"/>
        <n v="40.0"/>
        <n v="35.0"/>
        <n v="33.75"/>
        <n v="33.32"/>
        <n v="32.79"/>
        <n v="30.0"/>
        <n v="25.0"/>
        <n v="24.02"/>
        <n v="19.9"/>
        <n v="19.86"/>
        <n v="18.08"/>
        <n v="14.0"/>
        <n v="12.99"/>
        <n v="9.99"/>
        <n v="8.23"/>
        <n v="6.74"/>
        <n v="6.0"/>
        <n v="4.5"/>
        <m/>
      </sharedItems>
    </cacheField>
    <cacheField name="categoria" numFmtId="0">
      <sharedItems containsBlank="1">
        <s v="Gasolina"/>
        <s v="Lucas e Pedro"/>
        <s v="Fastfood"/>
        <s v="Progressiva"/>
        <s v="Pedro"/>
        <s v="Compras"/>
        <s v="Gatos"/>
        <s v="Curso"/>
        <s v="Celular"/>
        <s v="Role despedida"/>
        <s v="Lucas"/>
        <s v="Uber"/>
        <s v="Assinatura"/>
        <s v="Mercado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72" sheet="Mar26"/>
  </cacheSource>
  <cacheFields>
    <cacheField name="date" numFmtId="165">
      <sharedItems containsDate="1" containsString="0" containsBlank="1"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26T00:00:00Z"/>
        <d v="2026-03-25T00:00:00Z"/>
        <d v="2026-03-23T00:00:00Z"/>
        <d v="2026-03-22T00:00:00Z"/>
        <d v="2026-03-21T00:00:00Z"/>
        <d v="2026-03-20T00:00:00Z"/>
        <d v="2026-03-19T00:00:00Z"/>
        <d v="2026-03-18T00:00:00Z"/>
        <m/>
      </sharedItems>
    </cacheField>
    <cacheField name="title" numFmtId="0">
      <sharedItems containsBlank="1">
        <s v="Mobly Comercio Varejis - Parcela 2/10"/>
        <s v="Mercadolivre*Mercadol - Note Pedro - Parcela 4/10"/>
        <s v="Mp *Valcam - Parcela 2/2"/>
        <s v="LG TV nova - Parcela 11/12"/>
        <s v="Mercadolivre* iPad Vitória - Parcela 5/12"/>
        <s v="EBW*NuViagens - NuPay - Parcela 9/12"/>
        <s v="Parcelamento de Compra - Adega Bebs Tudo - 3/3"/>
        <s v="Parcelamento de Compra - Quiosque do Expedito - 3/3"/>
        <s v="Parcelamento de Compra - Domquixote - 3/3"/>
        <s v="Parcelamento de Compra - Billy Bruto Hamburguer - 3/3"/>
        <s v="Parcelamento de Compra - Comercial Peck de Alim - Mercado - 3/3"/>
        <s v="Petz - Gatos - Parcela 2/2"/>
        <s v="G B Sp Comercio de - Pneus Carro - Parcela 4/6"/>
        <s v="Amazon - Airfryer Pedro - Parcela 2/5"/>
        <s v="Parcelamento de Compra - Posto Tancredo Neves - 3/3"/>
        <s v="Mp *Easyoilbr - Velas Celta - Parcela 2/2"/>
        <s v="Mmsconviniencia - Pedro"/>
        <s v="Autopostoirmaos - Pedro"/>
        <s v="Kee*Miami Burger - Pedro"/>
        <s v="Havan Braganca Paulist - Parcela 2/2"/>
        <s v="Parcelamento de Compra - Bare Auto Posto - 3/3"/>
        <s v="Mercadolivre*3produto - Parcela 2/2"/>
        <s v="Parcelamento de Compra - Comercial Peck de Alim - 3/3"/>
        <s v="Parcelamento de Compra - Barracadatata - 3/3"/>
        <s v="Mp *Vini - Pedro"/>
        <s v="Parcelamento de Compra - Bar da Praia Martim de - 3/3"/>
        <s v="Parcelamento de Compra - Mp *Fell - 3/3"/>
        <s v="Parcelamento de Compra - Kiskonofre - Quiosque - 3/3"/>
        <s v="Parcelamento de Compra - Cybercomp - Sorveteria - 3/3"/>
        <s v="Parcelamento de Compra - Jurandirgarcia - 3/3"/>
        <s v="Parcelamento de Compra - Quiosque Jamaica - 3/3"/>
        <s v="Parcelamento de Compra - Estefanidesouzasi - 3/3"/>
        <s v="Parcelamento de Compra - Hortifruti - 3/3"/>
        <s v="NuTag*EJL0D85"/>
        <s v="Parcelamento de Compra - Mercado Boa Vista de C - 3/3"/>
        <s v="Parcelamento de Compra - Jr Ribeiro da Silva A - Açougue - 3/3"/>
        <s v="Carrefour Anchieta Petz Pedro - Parcela 4/12"/>
        <s v="Panificadora Bolini L"/>
        <s v="Gomes Minimercado - Pedro"/>
        <s v="Mercadolivre*2produto"/>
        <s v="Perfumaria Sumire"/>
        <s v="Uniao Comercio Atacad"/>
        <s v="Jim.Com* 61501799 Gust - Pedro carro lavagem"/>
        <s v="Vestcasa Braganca Paul"/>
        <s v="Lojas Americanas"/>
        <s v="Drogaria Sao Paulo"/>
        <s v="Havan Braganca Paulist"/>
        <s v="Mr. Ice"/>
        <s v="A Fazenda Rosario"/>
        <s v="Centro Comercial Aveni - Posto de Gasolina"/>
        <s v="Centro Médico Veterina - Pedro"/>
        <s v="Gocase *Gocase - Parcela 1/3"/>
        <s v="Keeta - Pedro"/>
        <s v="Av Nazare - Pedro"/>
        <s v="Cobasi Comercio de Pro"/>
        <s v="Ebn *Spotify"/>
        <s v="Mp *Novaera"/>
        <s v="Rededrogatem"/>
        <s v="Posto Maria Estela - Pedro"/>
        <s v="Rrb Comercio e Confecc - Tênis Pedro - Parcela 1/3"/>
        <s v="Youcom Fl - Parcela 1/2"/>
        <s v="Mmsconviniencia"/>
        <s v="Microsoft*Microsoft"/>
        <s v="Bellasantacruz"/>
        <s v="Google Youtube"/>
        <s v="Mr Ice Sorvetes"/>
        <s v="Mp *Lamerkparfum - Pedro"/>
        <s v="Padaria Galileia"/>
        <s v="Jose Augusto Rodrigues - Álbum Pedro - Parcela 1/2"/>
        <s v="Netflix.Com"/>
        <s v="Comercial - Pedro"/>
        <s v="Auto Posto Imigrantes-"/>
        <s v="295 - Riachuelo-Sp - Parcela 1/2"/>
        <s v="Administradora"/>
        <s v="Adriana Vieira de Mora - Pedro"/>
        <s v="Contas do Detran"/>
        <s v="Vivara Lojavivara-7164 - Parcela 1/3"/>
        <s v="Paygo*Valdirene Baccan - Pedro"/>
        <s v="Assinatura HBO Max desconto Nubank"/>
        <s v="Karinedeoliveira - Pedro"/>
        <s v="Jim.Com* Amac Comercio - Cadeira"/>
        <s v="Life By Vivara - Parcela 1/3"/>
        <s v="Mercado Livre - Pedro"/>
        <s v="Carrefour - Pedro"/>
        <s v="Jim.Com* 35648572 Gab"/>
        <s v="Nickssaruchas"/>
        <s v="S Pigato Comercio"/>
        <s v="Chiquinhos Sorvetes"/>
        <s v="Dmfest Producoes e Eve"/>
        <s v="PJBANK PAGAMENTOS S.A."/>
        <s v="Emporio do Aco - Pedro - Parcela 1/2"/>
        <s v="Morana - Pedro - Parcela 1/2"/>
        <s v="Raia"/>
        <s v="Autozone Brasil Com Au"/>
        <s v="Mp *Pijamasmodabr - Parcela 1/2"/>
        <s v="Koyodai Pastelaria Sal"/>
        <s v="Google One"/>
        <s v="Microsoft - Gamepass Pedro"/>
        <s v="Lojas Renner Fl - Parcela 1/2"/>
        <s v="Alemagri Petshop"/>
        <s v="1a99"/>
        <s v="Fft Braganca Paulista"/>
        <s v="Camilasayuri - Pedro"/>
        <s v="R. F. Casa de Carnes"/>
        <s v="Acai Mr Ice"/>
        <s v="Zae Braganca"/>
        <s v="Ebn *Capcut"/>
        <s v="Famosa Linguica"/>
        <s v="Panificadora Bolini"/>
        <s v="Bar e Restaurante"/>
        <s v="Trigo Bom Paes Doce - Pedro"/>
        <s v="Sos Farma Lj - Pedro"/>
        <s v="Swift Ipiranga"/>
        <s v="62124999ana"/>
        <s v="Postomariaestela"/>
        <s v="Jeronimoatibaia - Parcela 1/2"/>
        <s v="Big Supermercados"/>
        <s v="Convem Supermercados D"/>
        <s v="Adriana Vieira de Mora"/>
        <s v="Shopping da Utilidade"/>
        <s v="Rubensjosecampos"/>
        <s v="Dia - Pedro"/>
        <s v="Chiquinho Sorvetes"/>
        <m/>
      </sharedItems>
    </cacheField>
    <cacheField name="amount" numFmtId="164">
      <sharedItems containsString="0" containsBlank="1" containsNumber="1">
        <n v="285.14"/>
        <n v="264.9"/>
        <n v="247.5"/>
        <n v="243.67"/>
        <n v="222.08"/>
        <n v="142.49"/>
        <n v="123.14"/>
        <n v="111.18"/>
        <n v="111.04"/>
        <n v="104.88"/>
        <n v="102.76"/>
        <n v="99.98"/>
        <n v="96.63"/>
        <n v="95.0"/>
        <n v="83.28"/>
        <n v="75.0"/>
        <n v="74.0"/>
        <n v="70.0"/>
        <n v="66.49"/>
        <n v="64.98"/>
        <n v="61.22"/>
        <n v="49.0"/>
        <n v="47.82"/>
        <n v="39.16"/>
        <n v="38.7"/>
        <n v="35.0"/>
        <n v="34.02"/>
        <n v="33.31"/>
        <n v="28.84"/>
        <n v="26.56"/>
        <n v="26.38"/>
        <n v="23.61"/>
        <n v="18.29"/>
        <n v="16.88"/>
        <n v="15.83"/>
        <n v="15.48"/>
        <n v="14.07"/>
        <n v="12.0"/>
        <n v="11.81"/>
        <n v="11.42"/>
        <n v="11.25"/>
        <n v="11.14"/>
        <n v="6.9"/>
        <n v="4.0"/>
        <n v="120.3"/>
        <n v="88.79"/>
        <n v="68.85"/>
        <n v="65.89"/>
        <n v="55.0"/>
        <n v="50.29"/>
        <n v="46.96"/>
        <n v="42.21"/>
        <n v="25.98"/>
        <n v="28.92"/>
        <n v="27.59"/>
        <n v="15.47"/>
        <n v="230.34"/>
        <n v="178.41"/>
        <n v="160.0"/>
        <n v="94.94"/>
        <n v="71.97"/>
        <n v="47.0"/>
        <n v="42.8"/>
        <n v="40.9"/>
        <n v="37.0"/>
        <n v="31.97"/>
        <n v="10.0"/>
        <n v="3.2"/>
        <n v="150.0"/>
        <n v="126.68"/>
        <n v="99.95"/>
        <n v="97.91"/>
        <n v="71.17"/>
        <n v="58.0"/>
        <n v="9.0"/>
        <n v="6.2"/>
        <n v="53.9"/>
        <n v="48.0"/>
        <n v="24.0"/>
        <n v="8.0"/>
        <n v="115.0"/>
        <n v="57.8"/>
        <n v="34.0"/>
        <n v="177.04"/>
        <n v="76.66"/>
        <n v="44.99"/>
        <n v="21.0"/>
        <n v="16.78"/>
        <n v="194.17"/>
        <n v="128.34"/>
        <n v="79.0"/>
        <n v="54.0"/>
        <n v="14.9"/>
        <n v="125.63"/>
        <n v="195.0"/>
        <n v="190.0"/>
        <n v="158.0"/>
        <n v="102.48"/>
        <n v="99.68"/>
        <n v="80.0"/>
        <n v="71.5"/>
        <n v="38.0"/>
        <n v="23.0"/>
        <n v="22.0"/>
        <n v="2766.19"/>
        <n v="239.0"/>
        <n v="154.85"/>
        <n v="135.99"/>
        <n v="24.99"/>
        <n v="15.58"/>
        <n v="8.99"/>
        <n v="235.54"/>
        <n v="89.95"/>
        <n v="9.99"/>
        <n v="69.9"/>
        <n v="69.97"/>
        <n v="69.95"/>
        <n v="42.38"/>
        <n v="34.96"/>
        <n v="14.99"/>
        <n v="43.01"/>
        <n v="40.46"/>
        <n v="29.88"/>
        <n v="27.0"/>
        <n v="2.5"/>
        <n v="65.9"/>
        <n v="32.61"/>
        <n v="25.0"/>
        <n v="59.0"/>
        <n v="41.4"/>
        <n v="40.64"/>
        <n v="22.75"/>
        <n v="9.98"/>
        <n v="39.1"/>
        <n v="100.0"/>
        <n v="13.7"/>
        <n v="6.1"/>
        <n v="50.0"/>
        <n v="74.61"/>
        <n v="68.5"/>
        <n v="47.83"/>
        <n v="32.44"/>
        <n v="45.99"/>
        <n v="51.0"/>
        <n v="11.32"/>
        <n v="39.98"/>
        <n v="43.0"/>
        <n v="8.58"/>
        <n v="66.0"/>
        <n v="15.0"/>
        <n v="24.15"/>
        <n v="39.0"/>
        <n v="4.17"/>
        <n v="219.05"/>
        <n v="43.51"/>
        <n v="31.0"/>
        <n v="64.88"/>
        <m/>
      </sharedItems>
    </cacheField>
    <cacheField name="categoria" numFmtId="0">
      <sharedItems containsBlank="1">
        <s v="Compra parcelada"/>
        <s v="Pedro"/>
        <s v="Carro"/>
        <s v="Vitória"/>
        <s v="Viagem passaem"/>
        <s v="Caraguá"/>
        <s v="Gatos"/>
        <s v="Itens de casa"/>
        <s v="Padaria"/>
        <s v="Mercado"/>
        <s v="Farmacia"/>
        <s v="Fastfood"/>
        <s v="Assinatura"/>
        <s v="Adega"/>
        <s v="Roupa"/>
        <s v="Presente Vitória"/>
        <s v="Móvel"/>
        <s v="Aluguel"/>
        <s v="Canal Dark"/>
        <s v="Farmácia"/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66" sheet="Abr26"/>
  </cacheSource>
  <cacheFields>
    <cacheField name="date" numFmtId="165">
      <sharedItems containsDate="1" containsString="0" containsBlank="1">
        <d v="2026-04-05T00:00:00Z"/>
        <d v="2026-04-04T00:00:00Z"/>
        <d v="2026-03-27T00:00:00Z"/>
        <d v="2026-03-28T00:00:00Z"/>
        <d v="2026-03-29T00:00:00Z"/>
        <d v="2026-04-01T00:00:00Z"/>
        <d v="2026-03-31T00:00:00Z"/>
        <d v="2026-03-30T00:00:00Z"/>
        <d v="2026-04-02T00:00:00Z"/>
        <d v="2026-04-03T00:00:00Z"/>
        <m/>
      </sharedItems>
    </cacheField>
    <cacheField name="title" numFmtId="0">
      <sharedItems containsBlank="1">
        <s v="Amazon - celular Vitória"/>
        <s v="Mmsconviniencia"/>
        <s v="Mobly Comercio Varejis - Parcela 3/10"/>
        <s v="Mercadolivre*Mercadol - Note Pedro - Parcela 5/10"/>
        <s v="LG TV nova - Parcela 12/12"/>
        <s v="Autopostoirmaos - Pedro"/>
        <s v="Emporio do Aco - Pedro - Parcela 2/2"/>
        <s v="Mercadolivre* iPad Vitória - Parcela 6/12"/>
        <s v="Auto Posto Sorriso"/>
        <s v="Contas do Detran"/>
        <s v="Auto Posto Imigrantes-"/>
        <s v="Life By Vivara - Parcela 2/3"/>
        <s v="Morana - Pedro - Parcela 2/2"/>
        <s v="Mlp *Netshoes-Nike - Parcela 1/2"/>
        <s v="EBW*NuViagens - NuPay - Parcela 10/12"/>
        <s v="Vivara Lojavivara-7164 - Parcela 2/3"/>
        <s v="Rrb Comercio e Confecc - Tênis Pedro - Parcela 2/3"/>
        <s v="M Zhou Lanchonete - Pedro"/>
        <s v="Gomes Minimercado - Pedro"/>
        <s v="Ifd*Show de Cacau Come"/>
        <s v="Jose Augusto Rodrigues - Álbum Pedro - Parcela 2/2"/>
        <s v="Leitura"/>
        <s v="Parma Comercio Aliment"/>
        <s v="Remediopopular - Parcela 1/2"/>
        <s v="Cobasi Comercio de Pro - Parcela 1/2"/>
        <s v="Youcom Fl - Parcela 2/2"/>
        <s v="G B Sp Comercio de - Pneus Carro - Parcela 5/6"/>
        <s v="Amazon - Airfryer Pedro - Parcela 3/5"/>
        <s v="Gocase *Gocase - Parcela 2/3"/>
        <s v="Raia2630"/>
        <s v="Mp *Pijamasmodabr - Parcela 2/2"/>
        <s v="Upwork -906389987conne"/>
        <s v="Jim.Com* 35648572 Gab - Cabeleireiro"/>
        <s v="Villa Chic - Almoço Trampo"/>
        <s v="Lojas Renner Fl - Parcela 2/2"/>
        <s v="Keeta*Arcos Dourado"/>
        <s v="Cobasi Comercio de Pro"/>
        <s v="Jeronimoatibaia - Parcela 2/2"/>
        <s v="Mercearia Nogeuweira"/>
        <s v="Mercadolivre*Mercadol"/>
        <s v="Raia"/>
        <s v="Uniao Comercio Atacad"/>
        <s v="Netflix.Com"/>
        <s v="Mcs Estacionamento - Pedro"/>
        <s v="Convem Supermercados D"/>
        <s v="Gomes Minimercado"/>
        <s v="Google Youtube"/>
        <s v="99food *Tradi Delivery"/>
        <s v="Plaza Sul"/>
        <s v="295 - Riachuelo-Sp - Parcela 2/2"/>
        <s v="Drogaria Sao Paulo"/>
        <s v="Koyodai Pastelaria Sal"/>
        <s v="Luz da Vila Mariana - Pedro"/>
        <s v="Ebn *Spotify"/>
        <s v="Mmsconviniencia - Pedro"/>
        <s v="Msk Pasteis - Pedro"/>
        <s v="Lojas Americanas"/>
        <s v="Keeta - Pedro"/>
        <s v="Chiquinho Sorvetes"/>
        <s v="Estacionamentowa"/>
        <s v="Chocolandia"/>
        <s v="Chiquinhos Sorvetes"/>
        <s v="Cenoradas"/>
        <s v="Adriana Vieira de Mora"/>
        <s v="Jdaguas - Pedro"/>
        <s v="NuTag*EJL0D85"/>
        <s v="Gersonmassahiroos - Pedro"/>
        <s v="Ec *Melimais"/>
        <s v="Ppro *Microsoft"/>
        <s v="Carrefour Anchieta Petz Pedro - Parcela 5/12"/>
        <s v="IOF de compra internacional"/>
        <s v="IOF de volta de Upwork -906389987conne"/>
        <m/>
      </sharedItems>
    </cacheField>
    <cacheField name="amount" numFmtId="164">
      <sharedItems containsString="0" containsBlank="1" containsNumber="1">
        <n v="424.83"/>
        <n v="299.0"/>
        <n v="285.14"/>
        <n v="264.9"/>
        <n v="243.67"/>
        <n v="242.69"/>
        <n v="239.0"/>
        <n v="222.08"/>
        <n v="204.75"/>
        <n v="194.17"/>
        <n v="170.06"/>
        <n v="158.0"/>
        <n v="154.85"/>
        <n v="144.99"/>
        <n v="142.49"/>
        <n v="128.33"/>
        <n v="126.66"/>
        <n v="124.2"/>
        <n v="123.16"/>
        <n v="117.86"/>
        <n v="116.97"/>
        <n v="115.0"/>
        <n v="109.8"/>
        <n v="105.4"/>
        <n v="103.83"/>
        <n v="101.95"/>
        <n v="99.95"/>
        <n v="96.63"/>
        <n v="95.0"/>
        <n v="94.93"/>
        <n v="94.49"/>
        <n v="89.95"/>
        <n v="81.03"/>
        <n v="80.0"/>
        <n v="78.9"/>
        <n v="69.95"/>
        <n v="69.52"/>
        <n v="69.07"/>
        <n v="68.5"/>
        <n v="66.9"/>
        <n v="66.7"/>
        <n v="59.89"/>
        <n v="59.56"/>
        <n v="57.8"/>
        <n v="57.0"/>
        <n v="56.8"/>
        <n v="54.12"/>
        <n v="53.9"/>
        <n v="53.73"/>
        <n v="47.07"/>
        <n v="45.8"/>
        <n v="44.99"/>
        <n v="44.75"/>
        <n v="44.0"/>
        <n v="43.68"/>
        <n v="42.5"/>
        <n v="40.9"/>
        <n v="39.0"/>
        <n v="36.0"/>
        <n v="34.59"/>
        <n v="32.0"/>
        <n v="30.0"/>
        <n v="29.98"/>
        <n v="28.27"/>
        <n v="23.0"/>
        <n v="21.9"/>
        <n v="20.0"/>
        <n v="13.0"/>
        <n v="12.0"/>
        <n v="9.9"/>
        <n v="9.0"/>
        <n v="7.19"/>
        <n v="6.9"/>
        <n v="2.83"/>
        <n v="-2.83"/>
        <m/>
      </sharedItems>
    </cacheField>
    <cacheField name="categoria" numFmtId="0">
      <sharedItems containsBlank="1">
        <s v="Vitória"/>
        <s v="Resenha Pedro (100 dele)"/>
        <s v="Compra parcelada"/>
        <s v="Pedro"/>
        <s v="Carro"/>
        <s v="Presente"/>
        <s v="Lucas"/>
        <s v="Viagem passaem"/>
        <s v="Trabalho"/>
        <s v="Páscoa"/>
        <s v="Mercado"/>
        <s v="Farmácia"/>
        <s v="Gatos"/>
        <s v="Fastfood"/>
        <s v="Casa"/>
        <s v="Assinatura"/>
        <s v="Roupa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Set" cacheId="0" dataCaption="" compact="0" compactData="0">
  <location ref="F2:G24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tle" axis="axisRow" compact="0" outline="0" multipleItemSelectionAllowed="1" showAll="0" sortType="ascending">
      <items>
        <item x="30"/>
        <item x="64"/>
        <item x="29"/>
        <item x="0"/>
        <item x="62"/>
        <item x="27"/>
        <item x="58"/>
        <item x="56"/>
        <item x="17"/>
        <item x="33"/>
        <item x="35"/>
        <item x="15"/>
        <item x="36"/>
        <item x="78"/>
        <item x="75"/>
        <item x="11"/>
        <item x="7"/>
        <item x="3"/>
        <item x="13"/>
        <item x="68"/>
        <item x="69"/>
        <item x="72"/>
        <item x="59"/>
        <item x="19"/>
        <item x="41"/>
        <item x="12"/>
        <item x="39"/>
        <item x="40"/>
        <item x="16"/>
        <item x="25"/>
        <item x="79"/>
        <item x="6"/>
        <item x="49"/>
        <item x="4"/>
        <item x="22"/>
        <item x="61"/>
        <item x="71"/>
        <item x="83"/>
        <item x="20"/>
        <item x="9"/>
        <item x="81"/>
        <item x="70"/>
        <item x="48"/>
        <item x="21"/>
        <item x="18"/>
        <item x="74"/>
        <item x="32"/>
        <item x="76"/>
        <item x="34"/>
        <item x="10"/>
        <item x="54"/>
        <item x="1"/>
        <item x="57"/>
        <item x="82"/>
        <item x="77"/>
        <item x="52"/>
        <item x="26"/>
        <item x="28"/>
        <item x="42"/>
        <item x="67"/>
        <item x="37"/>
        <item x="23"/>
        <item x="47"/>
        <item x="8"/>
        <item x="84"/>
        <item x="31"/>
        <item x="5"/>
        <item x="88"/>
        <item x="86"/>
        <item x="85"/>
        <item x="89"/>
        <item x="87"/>
        <item x="14"/>
        <item x="51"/>
        <item x="44"/>
        <item x="45"/>
        <item x="43"/>
        <item x="60"/>
        <item x="2"/>
        <item x="53"/>
        <item x="80"/>
        <item x="24"/>
        <item x="46"/>
        <item x="63"/>
        <item x="55"/>
        <item x="65"/>
        <item x="50"/>
        <item x="73"/>
        <item x="66"/>
        <item x="38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2.xml><?xml version="1.0" encoding="utf-8"?>
<pivotTableDefinition xmlns="http://schemas.openxmlformats.org/spreadsheetml/2006/main" name="Out" cacheId="1" dataCaption="" compact="0" compactData="0">
  <location ref="F4:H31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itle" axis="axisRow" compact="0" outline="0" multipleItemSelectionAllowed="1" showAll="0" sortType="ascending">
      <items>
        <item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3.xml><?xml version="1.0" encoding="utf-8"?>
<pivotTableDefinition xmlns="http://schemas.openxmlformats.org/spreadsheetml/2006/main" name="Nov" cacheId="2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tle" axis="axisRow" compact="0" outline="0" multipleItemSelectionAllowed="1" showAll="0" sortType="ascending">
      <items>
        <item x="86"/>
        <item x="22"/>
        <item x="59"/>
        <item x="31"/>
        <item x="70"/>
        <item x="48"/>
        <item x="72"/>
        <item x="53"/>
        <item x="9"/>
        <item x="83"/>
        <item x="63"/>
        <item x="19"/>
        <item x="71"/>
        <item x="42"/>
        <item x="28"/>
        <item x="43"/>
        <item x="44"/>
        <item x="81"/>
        <item x="14"/>
        <item x="85"/>
        <item x="10"/>
        <item x="5"/>
        <item x="2"/>
        <item x="11"/>
        <item x="34"/>
        <item x="82"/>
        <item x="3"/>
        <item x="12"/>
        <item x="39"/>
        <item x="13"/>
        <item x="33"/>
        <item x="64"/>
        <item x="1"/>
        <item x="20"/>
        <item x="58"/>
        <item x="50"/>
        <item x="36"/>
        <item x="78"/>
        <item x="30"/>
        <item x="6"/>
        <item x="77"/>
        <item x="7"/>
        <item x="74"/>
        <item x="54"/>
        <item x="79"/>
        <item x="41"/>
        <item x="27"/>
        <item x="76"/>
        <item x="56"/>
        <item x="67"/>
        <item x="68"/>
        <item x="65"/>
        <item x="45"/>
        <item x="8"/>
        <item x="62"/>
        <item x="26"/>
        <item x="55"/>
        <item x="0"/>
        <item x="18"/>
        <item x="47"/>
        <item x="32"/>
        <item x="29"/>
        <item x="38"/>
        <item x="35"/>
        <item x="73"/>
        <item x="40"/>
        <item x="66"/>
        <item x="16"/>
        <item x="46"/>
        <item x="80"/>
        <item x="61"/>
        <item x="75"/>
        <item x="84"/>
        <item x="49"/>
        <item x="51"/>
        <item x="17"/>
        <item x="57"/>
        <item x="37"/>
        <item x="4"/>
        <item x="15"/>
        <item x="69"/>
        <item x="21"/>
        <item x="23"/>
        <item x="60"/>
        <item x="52"/>
        <item x="24"/>
        <item x="2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h="1"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4.xml><?xml version="1.0" encoding="utf-8"?>
<pivotTableDefinition xmlns="http://schemas.openxmlformats.org/spreadsheetml/2006/main" name="Dez" cacheId="3" dataCaption="" compact="0" compactData="0">
  <location ref="F4:H30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itle" axis="axisRow" compact="0" outline="0" multipleItemSelectionAllowed="1" showAll="0" sortType="ascending">
      <items>
        <item x="110"/>
        <item x="22"/>
        <item x="52"/>
        <item x="70"/>
        <item x="36"/>
        <item x="28"/>
        <item x="30"/>
        <item x="47"/>
        <item x="69"/>
        <item x="81"/>
        <item x="56"/>
        <item x="84"/>
        <item x="27"/>
        <item x="67"/>
        <item x="65"/>
        <item x="95"/>
        <item x="18"/>
        <item x="106"/>
        <item x="102"/>
        <item x="77"/>
        <item x="53"/>
        <item x="59"/>
        <item x="87"/>
        <item x="108"/>
        <item x="89"/>
        <item x="14"/>
        <item x="73"/>
        <item x="35"/>
        <item x="39"/>
        <item x="63"/>
        <item x="40"/>
        <item x="71"/>
        <item x="41"/>
        <item x="6"/>
        <item x="7"/>
        <item x="74"/>
        <item x="38"/>
        <item x="32"/>
        <item x="91"/>
        <item x="23"/>
        <item x="9"/>
        <item x="25"/>
        <item x="105"/>
        <item x="78"/>
        <item x="46"/>
        <item x="94"/>
        <item x="43"/>
        <item x="85"/>
        <item x="33"/>
        <item x="17"/>
        <item x="93"/>
        <item x="5"/>
        <item x="1"/>
        <item x="19"/>
        <item x="96"/>
        <item x="34"/>
        <item x="79"/>
        <item x="13"/>
        <item x="16"/>
        <item x="21"/>
        <item x="72"/>
        <item x="99"/>
        <item x="29"/>
        <item x="57"/>
        <item x="24"/>
        <item x="54"/>
        <item x="86"/>
        <item x="92"/>
        <item x="37"/>
        <item x="97"/>
        <item x="42"/>
        <item x="31"/>
        <item x="103"/>
        <item x="58"/>
        <item x="15"/>
        <item x="50"/>
        <item x="101"/>
        <item x="51"/>
        <item x="64"/>
        <item x="44"/>
        <item x="82"/>
        <item x="80"/>
        <item x="83"/>
        <item x="26"/>
        <item x="12"/>
        <item x="3"/>
        <item x="0"/>
        <item x="109"/>
        <item x="68"/>
        <item x="8"/>
        <item x="20"/>
        <item x="11"/>
        <item x="98"/>
        <item x="104"/>
        <item x="107"/>
        <item x="49"/>
        <item x="100"/>
        <item x="60"/>
        <item x="88"/>
        <item x="75"/>
        <item x="90"/>
        <item x="4"/>
        <item x="62"/>
        <item x="48"/>
        <item x="55"/>
        <item x="61"/>
        <item x="45"/>
        <item x="2"/>
        <item x="66"/>
        <item x="76"/>
        <item x="10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5.xml><?xml version="1.0" encoding="utf-8"?>
<pivotTableDefinition xmlns="http://schemas.openxmlformats.org/spreadsheetml/2006/main" name="Jan26" cacheId="4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tle" axis="axisRow" compact="0" outline="0" multipleItemSelectionAllowed="1" showAll="0" sortType="ascending">
      <items>
        <item x="126"/>
        <item x="77"/>
        <item x="16"/>
        <item x="123"/>
        <item x="109"/>
        <item x="116"/>
        <item x="92"/>
        <item x="118"/>
        <item x="1"/>
        <item x="93"/>
        <item x="14"/>
        <item x="7"/>
        <item x="87"/>
        <item x="96"/>
        <item x="84"/>
        <item x="83"/>
        <item x="32"/>
        <item x="110"/>
        <item x="39"/>
        <item x="37"/>
        <item x="26"/>
        <item x="82"/>
        <item x="113"/>
        <item x="54"/>
        <item x="75"/>
        <item x="18"/>
        <item x="22"/>
        <item x="112"/>
        <item x="78"/>
        <item x="60"/>
        <item x="31"/>
        <item x="30"/>
        <item x="47"/>
        <item x="2"/>
        <item x="107"/>
        <item x="3"/>
        <item x="10"/>
        <item x="111"/>
        <item x="63"/>
        <item x="23"/>
        <item x="106"/>
        <item x="12"/>
        <item x="71"/>
        <item x="90"/>
        <item x="43"/>
        <item x="50"/>
        <item x="20"/>
        <item x="100"/>
        <item x="119"/>
        <item x="102"/>
        <item x="46"/>
        <item x="29"/>
        <item x="35"/>
        <item x="28"/>
        <item x="101"/>
        <item x="86"/>
        <item x="27"/>
        <item x="36"/>
        <item x="0"/>
        <item x="17"/>
        <item x="24"/>
        <item x="117"/>
        <item x="62"/>
        <item x="122"/>
        <item x="44"/>
        <item x="73"/>
        <item x="8"/>
        <item x="15"/>
        <item x="25"/>
        <item x="34"/>
        <item x="98"/>
        <item x="94"/>
        <item x="121"/>
        <item x="103"/>
        <item x="38"/>
        <item x="80"/>
        <item x="124"/>
        <item x="66"/>
        <item x="115"/>
        <item x="79"/>
        <item x="42"/>
        <item x="4"/>
        <item x="19"/>
        <item x="40"/>
        <item x="52"/>
        <item x="53"/>
        <item x="72"/>
        <item x="65"/>
        <item x="9"/>
        <item x="57"/>
        <item x="51"/>
        <item x="55"/>
        <item x="49"/>
        <item x="58"/>
        <item x="74"/>
        <item x="56"/>
        <item x="64"/>
        <item x="48"/>
        <item x="61"/>
        <item x="67"/>
        <item x="59"/>
        <item x="69"/>
        <item x="70"/>
        <item x="68"/>
        <item x="105"/>
        <item x="11"/>
        <item x="76"/>
        <item x="99"/>
        <item x="81"/>
        <item x="5"/>
        <item x="120"/>
        <item x="97"/>
        <item x="114"/>
        <item x="41"/>
        <item x="45"/>
        <item x="33"/>
        <item x="13"/>
        <item x="104"/>
        <item x="125"/>
        <item x="89"/>
        <item x="108"/>
        <item x="85"/>
        <item x="91"/>
        <item x="6"/>
        <item x="95"/>
        <item x="88"/>
        <item x="21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6.xml><?xml version="1.0" encoding="utf-8"?>
<pivotTableDefinition xmlns="http://schemas.openxmlformats.org/spreadsheetml/2006/main" name="Fev26" cacheId="5" dataCaption="" compact="0" compactData="0">
  <location ref="F4:H36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itle" axis="axisRow" compact="0" outline="0" multipleItemSelectionAllowed="1" showAll="0" sortType="ascending">
      <items>
        <item x="129"/>
        <item x="16"/>
        <item x="90"/>
        <item x="38"/>
        <item x="62"/>
        <item x="58"/>
        <item x="127"/>
        <item x="50"/>
        <item x="125"/>
        <item x="4"/>
        <item x="89"/>
        <item x="42"/>
        <item x="77"/>
        <item x="64"/>
        <item x="119"/>
        <item x="37"/>
        <item x="71"/>
        <item x="81"/>
        <item x="41"/>
        <item x="92"/>
        <item x="36"/>
        <item x="35"/>
        <item x="28"/>
        <item x="94"/>
        <item x="68"/>
        <item x="80"/>
        <item x="76"/>
        <item x="0"/>
        <item x="44"/>
        <item x="113"/>
        <item x="82"/>
        <item x="19"/>
        <item x="102"/>
        <item x="5"/>
        <item x="75"/>
        <item x="110"/>
        <item x="47"/>
        <item x="13"/>
        <item x="108"/>
        <item x="116"/>
        <item x="93"/>
        <item x="60"/>
        <item x="98"/>
        <item x="114"/>
        <item x="84"/>
        <item x="123"/>
        <item x="112"/>
        <item x="126"/>
        <item x="122"/>
        <item x="85"/>
        <item x="99"/>
        <item x="118"/>
        <item x="24"/>
        <item x="2"/>
        <item x="101"/>
        <item x="65"/>
        <item x="88"/>
        <item x="3"/>
        <item x="67"/>
        <item x="69"/>
        <item x="95"/>
        <item x="1"/>
        <item x="15"/>
        <item x="45"/>
        <item x="49"/>
        <item x="73"/>
        <item x="66"/>
        <item x="104"/>
        <item x="40"/>
        <item x="48"/>
        <item x="79"/>
        <item x="61"/>
        <item x="121"/>
        <item x="51"/>
        <item x="86"/>
        <item x="103"/>
        <item x="63"/>
        <item x="74"/>
        <item x="55"/>
        <item x="23"/>
        <item x="22"/>
        <item x="124"/>
        <item x="6"/>
        <item x="21"/>
        <item x="17"/>
        <item x="20"/>
        <item x="7"/>
        <item x="11"/>
        <item x="18"/>
        <item x="12"/>
        <item x="27"/>
        <item x="9"/>
        <item x="31"/>
        <item x="32"/>
        <item x="34"/>
        <item x="29"/>
        <item x="26"/>
        <item x="33"/>
        <item x="25"/>
        <item x="14"/>
        <item x="8"/>
        <item x="30"/>
        <item x="72"/>
        <item x="10"/>
        <item x="56"/>
        <item x="117"/>
        <item x="57"/>
        <item x="115"/>
        <item x="91"/>
        <item x="128"/>
        <item x="109"/>
        <item x="70"/>
        <item x="97"/>
        <item x="83"/>
        <item x="111"/>
        <item x="39"/>
        <item x="105"/>
        <item x="100"/>
        <item x="107"/>
        <item x="52"/>
        <item x="53"/>
        <item x="78"/>
        <item x="54"/>
        <item x="59"/>
        <item x="96"/>
        <item x="106"/>
        <item x="87"/>
        <item x="120"/>
        <item x="46"/>
        <item x="43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7.xml><?xml version="1.0" encoding="utf-8"?>
<pivotTableDefinition xmlns="http://schemas.openxmlformats.org/spreadsheetml/2006/main" name="Fev Vitoria" cacheId="6" dataCaption="" compact="0" compactData="0">
  <location ref="F4:H19" firstHeaderRow="0" firstDataRow="2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itle" axis="axisRow" compact="0" outline="0" multipleItemSelectionAllowed="1" showAll="0" sortType="ascending">
      <items>
        <item x="26"/>
        <item x="21"/>
        <item x="18"/>
        <item x="20"/>
        <item x="25"/>
        <item x="19"/>
        <item x="11"/>
        <item x="0"/>
        <item x="1"/>
        <item x="7"/>
        <item x="9"/>
        <item x="16"/>
        <item x="15"/>
        <item x="6"/>
        <item x="14"/>
        <item x="8"/>
        <item x="23"/>
        <item x="3"/>
        <item x="12"/>
        <item x="2"/>
        <item x="5"/>
        <item x="24"/>
        <item x="13"/>
        <item x="4"/>
        <item x="22"/>
        <item x="10"/>
        <item x="17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8.xml><?xml version="1.0" encoding="utf-8"?>
<pivotTableDefinition xmlns="http://schemas.openxmlformats.org/spreadsheetml/2006/main" name="Mar26" cacheId="7" dataCaption="" compact="0" compactData="0">
  <location ref="F4:H25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tle" axis="axisRow" compact="0" outline="0" multipleItemSelectionAllowed="1" showAll="0" sortType="ascending">
      <items>
        <item x="123"/>
        <item x="100"/>
        <item x="72"/>
        <item x="113"/>
        <item x="48"/>
        <item x="104"/>
        <item x="73"/>
        <item x="118"/>
        <item x="74"/>
        <item x="99"/>
        <item x="13"/>
        <item x="78"/>
        <item x="71"/>
        <item x="17"/>
        <item x="93"/>
        <item x="53"/>
        <item x="109"/>
        <item x="63"/>
        <item x="116"/>
        <item x="102"/>
        <item x="83"/>
        <item x="36"/>
        <item x="49"/>
        <item x="50"/>
        <item x="122"/>
        <item x="87"/>
        <item x="54"/>
        <item x="70"/>
        <item x="75"/>
        <item x="117"/>
        <item x="121"/>
        <item x="88"/>
        <item x="45"/>
        <item x="106"/>
        <item x="55"/>
        <item x="5"/>
        <item x="90"/>
        <item x="107"/>
        <item x="101"/>
        <item x="12"/>
        <item x="51"/>
        <item x="38"/>
        <item x="96"/>
        <item x="64"/>
        <item x="46"/>
        <item x="19"/>
        <item x="115"/>
        <item x="84"/>
        <item x="42"/>
        <item x="80"/>
        <item x="68"/>
        <item x="79"/>
        <item x="18"/>
        <item x="52"/>
        <item x="95"/>
        <item x="3"/>
        <item x="81"/>
        <item x="44"/>
        <item x="98"/>
        <item x="82"/>
        <item x="4"/>
        <item x="39"/>
        <item x="21"/>
        <item x="1"/>
        <item x="97"/>
        <item x="62"/>
        <item x="61"/>
        <item x="16"/>
        <item x="0"/>
        <item x="91"/>
        <item x="15"/>
        <item x="66"/>
        <item x="56"/>
        <item x="94"/>
        <item x="2"/>
        <item x="24"/>
        <item x="65"/>
        <item x="47"/>
        <item x="69"/>
        <item x="85"/>
        <item x="33"/>
        <item x="67"/>
        <item x="108"/>
        <item x="37"/>
        <item x="6"/>
        <item x="25"/>
        <item x="20"/>
        <item x="23"/>
        <item x="9"/>
        <item x="22"/>
        <item x="10"/>
        <item x="28"/>
        <item x="8"/>
        <item x="31"/>
        <item x="32"/>
        <item x="35"/>
        <item x="29"/>
        <item x="27"/>
        <item x="34"/>
        <item x="26"/>
        <item x="14"/>
        <item x="7"/>
        <item x="30"/>
        <item x="77"/>
        <item x="40"/>
        <item x="11"/>
        <item x="89"/>
        <item x="58"/>
        <item x="114"/>
        <item x="103"/>
        <item x="92"/>
        <item x="57"/>
        <item x="59"/>
        <item x="120"/>
        <item x="86"/>
        <item x="119"/>
        <item x="111"/>
        <item x="112"/>
        <item x="110"/>
        <item x="41"/>
        <item x="43"/>
        <item x="76"/>
        <item x="60"/>
        <item x="10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pivotTables/pivotTable9.xml><?xml version="1.0" encoding="utf-8"?>
<pivotTableDefinition xmlns="http://schemas.openxmlformats.org/spreadsheetml/2006/main" name="Abr26" cacheId="8" dataCaption="" compact="0" compactData="0">
  <location ref="F4:H22" firstHeaderRow="0" firstDataRow="2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tle" axis="axisRow" compact="0" outline="0" multipleItemSelectionAllowed="1" showAll="0" sortType="ascending">
      <items>
        <item x="72"/>
        <item x="49"/>
        <item x="47"/>
        <item x="63"/>
        <item x="27"/>
        <item x="0"/>
        <item x="10"/>
        <item x="8"/>
        <item x="5"/>
        <item x="69"/>
        <item x="62"/>
        <item x="58"/>
        <item x="61"/>
        <item x="60"/>
        <item x="36"/>
        <item x="24"/>
        <item x="9"/>
        <item x="44"/>
        <item x="50"/>
        <item x="53"/>
        <item x="14"/>
        <item x="67"/>
        <item x="6"/>
        <item x="59"/>
        <item x="26"/>
        <item x="66"/>
        <item x="28"/>
        <item x="45"/>
        <item x="18"/>
        <item x="46"/>
        <item x="19"/>
        <item x="70"/>
        <item x="71"/>
        <item x="64"/>
        <item x="37"/>
        <item x="32"/>
        <item x="20"/>
        <item x="57"/>
        <item x="35"/>
        <item x="51"/>
        <item x="21"/>
        <item x="4"/>
        <item x="11"/>
        <item x="56"/>
        <item x="34"/>
        <item x="52"/>
        <item x="17"/>
        <item x="43"/>
        <item x="7"/>
        <item x="39"/>
        <item x="3"/>
        <item x="38"/>
        <item x="13"/>
        <item x="1"/>
        <item x="54"/>
        <item x="2"/>
        <item x="12"/>
        <item x="30"/>
        <item x="55"/>
        <item x="42"/>
        <item x="65"/>
        <item x="22"/>
        <item x="48"/>
        <item x="68"/>
        <item x="40"/>
        <item x="29"/>
        <item x="23"/>
        <item x="16"/>
        <item x="41"/>
        <item x="31"/>
        <item x="33"/>
        <item x="15"/>
        <item x="25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categori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1"/>
  </rowFields>
  <dataFields>
    <dataField name="SUM of 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hyperlink" Target="http://netflix.com" TargetMode="External"/><Relationship Id="rId3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0"/>
    <col customWidth="1" min="4" max="4" width="20.5"/>
    <col customWidth="1" min="5" max="5" width="2.25"/>
    <col customWidth="1" min="6" max="6" width="21.25"/>
    <col customWidth="1" min="7" max="7" width="23.25"/>
    <col customWidth="1" min="9" max="9" width="4.13"/>
    <col customWidth="1" min="10" max="10" width="23.75"/>
    <col customWidth="1" min="12" max="12" width="13.38"/>
    <col customWidth="1" min="15" max="16" width="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45896.0</v>
      </c>
      <c r="B2" s="5" t="s">
        <v>4</v>
      </c>
      <c r="C2" s="6">
        <v>256.19</v>
      </c>
      <c r="D2" s="5" t="s">
        <v>5</v>
      </c>
      <c r="H2" s="7"/>
      <c r="J2" s="5" t="s">
        <v>6</v>
      </c>
      <c r="K2" s="8" t="str">
        <f>C101</f>
        <v/>
      </c>
      <c r="M2" s="1" t="s">
        <v>7</v>
      </c>
      <c r="N2" s="1" t="s">
        <v>8</v>
      </c>
      <c r="O2" s="1" t="s">
        <v>9</v>
      </c>
      <c r="Q2" s="1" t="s">
        <v>10</v>
      </c>
      <c r="R2" s="1" t="s">
        <v>8</v>
      </c>
      <c r="S2" s="1" t="s">
        <v>9</v>
      </c>
    </row>
    <row r="3">
      <c r="A3" s="4">
        <v>45896.0</v>
      </c>
      <c r="B3" s="5" t="s">
        <v>11</v>
      </c>
      <c r="C3" s="6">
        <v>243.67</v>
      </c>
      <c r="D3" s="5" t="s">
        <v>12</v>
      </c>
      <c r="H3" s="7"/>
      <c r="J3" s="5" t="s">
        <v>13</v>
      </c>
      <c r="K3" s="8">
        <f>SUMIF(D:D, "Pedro", C:C)</f>
        <v>364.72</v>
      </c>
      <c r="M3" s="9">
        <v>45921.0</v>
      </c>
      <c r="N3" s="10">
        <v>411.01</v>
      </c>
      <c r="O3" s="8"/>
      <c r="Q3" s="9">
        <v>45921.0</v>
      </c>
      <c r="R3" s="8" t="s">
        <v>14</v>
      </c>
      <c r="S3" s="8">
        <v>0.0</v>
      </c>
    </row>
    <row r="4">
      <c r="A4" s="4">
        <v>45896.0</v>
      </c>
      <c r="B4" s="5" t="s">
        <v>15</v>
      </c>
      <c r="C4" s="6">
        <v>181.34</v>
      </c>
      <c r="D4" s="5" t="s">
        <v>16</v>
      </c>
      <c r="H4" s="7"/>
      <c r="J4" s="5" t="s">
        <v>17</v>
      </c>
      <c r="K4" s="8">
        <v>39.55</v>
      </c>
      <c r="M4" s="9">
        <v>45922.0</v>
      </c>
      <c r="N4" s="10">
        <v>412.26</v>
      </c>
      <c r="O4" s="8">
        <f>N4-N3</f>
        <v>1.25</v>
      </c>
      <c r="Q4" s="9">
        <v>45922.0</v>
      </c>
      <c r="R4" s="8" t="s">
        <v>14</v>
      </c>
      <c r="S4" s="8" t="str">
        <f>R4-R3</f>
        <v>#VALUE!</v>
      </c>
    </row>
    <row r="5">
      <c r="A5" s="4">
        <v>45896.0</v>
      </c>
      <c r="B5" s="5" t="s">
        <v>18</v>
      </c>
      <c r="C5" s="6">
        <v>162.9</v>
      </c>
      <c r="D5" s="5" t="s">
        <v>12</v>
      </c>
      <c r="H5" s="7"/>
      <c r="J5" s="11" t="s">
        <v>19</v>
      </c>
      <c r="K5" s="12">
        <f>K2-K3-K4</f>
        <v>-404.27</v>
      </c>
      <c r="M5" s="9">
        <v>45923.0</v>
      </c>
      <c r="N5" s="10"/>
      <c r="O5" s="8"/>
      <c r="Q5" s="9">
        <v>45923.0</v>
      </c>
      <c r="R5" s="10"/>
      <c r="S5" s="8"/>
    </row>
    <row r="6">
      <c r="A6" s="4">
        <v>45896.0</v>
      </c>
      <c r="B6" s="5" t="s">
        <v>20</v>
      </c>
      <c r="C6" s="6">
        <v>142.5</v>
      </c>
      <c r="D6" s="5" t="s">
        <v>21</v>
      </c>
      <c r="H6" s="7"/>
      <c r="M6" s="9">
        <v>45924.0</v>
      </c>
      <c r="N6" s="8">
        <v>413.71</v>
      </c>
      <c r="O6" s="8">
        <f>N6-N4</f>
        <v>1.45</v>
      </c>
      <c r="Q6" s="9">
        <v>45924.0</v>
      </c>
      <c r="R6" s="8" t="s">
        <v>22</v>
      </c>
      <c r="S6" s="8" t="str">
        <f t="shared" ref="S6:S8" si="1">R6-R5</f>
        <v>#VALUE!</v>
      </c>
    </row>
    <row r="7">
      <c r="A7" s="4">
        <v>45896.0</v>
      </c>
      <c r="B7" s="5" t="s">
        <v>23</v>
      </c>
      <c r="C7" s="6">
        <v>128.7</v>
      </c>
      <c r="D7" s="5" t="s">
        <v>12</v>
      </c>
      <c r="H7" s="7"/>
      <c r="J7" s="5" t="s">
        <v>24</v>
      </c>
      <c r="K7" s="8">
        <v>95.47</v>
      </c>
      <c r="M7" s="9">
        <v>45925.0</v>
      </c>
      <c r="N7" s="8">
        <v>416.35</v>
      </c>
      <c r="O7" s="8">
        <f t="shared" ref="O7:O8" si="2">N7-N6</f>
        <v>2.64</v>
      </c>
      <c r="Q7" s="9">
        <v>45925.0</v>
      </c>
      <c r="R7" s="8" t="s">
        <v>25</v>
      </c>
      <c r="S7" s="8" t="str">
        <f t="shared" si="1"/>
        <v>#VALUE!</v>
      </c>
    </row>
    <row r="8">
      <c r="A8" s="4">
        <v>45896.0</v>
      </c>
      <c r="B8" s="5" t="s">
        <v>26</v>
      </c>
      <c r="C8" s="6">
        <v>113.06</v>
      </c>
      <c r="D8" s="5" t="s">
        <v>27</v>
      </c>
      <c r="H8" s="7"/>
      <c r="J8" s="5" t="s">
        <v>28</v>
      </c>
      <c r="K8" s="8" t="str">
        <f>R7</f>
        <v>R$ 6,710,96</v>
      </c>
      <c r="M8" s="9">
        <v>45926.0</v>
      </c>
      <c r="N8" s="8">
        <v>417.09</v>
      </c>
      <c r="O8" s="8">
        <f t="shared" si="2"/>
        <v>0.74</v>
      </c>
      <c r="Q8" s="9">
        <v>45926.0</v>
      </c>
      <c r="R8" s="8" t="s">
        <v>29</v>
      </c>
      <c r="S8" s="8" t="str">
        <f t="shared" si="1"/>
        <v>#VALUE!</v>
      </c>
    </row>
    <row r="9">
      <c r="A9" s="4">
        <v>45896.0</v>
      </c>
      <c r="B9" s="5" t="s">
        <v>30</v>
      </c>
      <c r="C9" s="6">
        <v>111.72</v>
      </c>
      <c r="D9" s="5" t="s">
        <v>31</v>
      </c>
      <c r="H9" s="7"/>
      <c r="J9" s="5" t="s">
        <v>7</v>
      </c>
      <c r="K9" s="8">
        <f>N7</f>
        <v>416.35</v>
      </c>
      <c r="M9" s="9">
        <v>45927.0</v>
      </c>
      <c r="N9" s="8"/>
      <c r="O9" s="8"/>
      <c r="Q9" s="9">
        <v>45927.0</v>
      </c>
      <c r="R9" s="8" t="s">
        <v>32</v>
      </c>
      <c r="S9" s="8"/>
    </row>
    <row r="10">
      <c r="A10" s="4">
        <v>45896.0</v>
      </c>
      <c r="B10" s="5" t="s">
        <v>33</v>
      </c>
      <c r="C10" s="6">
        <v>107.83</v>
      </c>
      <c r="D10" s="5" t="s">
        <v>13</v>
      </c>
      <c r="H10" s="7"/>
      <c r="J10" s="5" t="s">
        <v>6</v>
      </c>
      <c r="K10" s="10">
        <f>sum(K7:K9)</f>
        <v>511.82</v>
      </c>
      <c r="M10" s="9">
        <v>45928.0</v>
      </c>
      <c r="N10" s="8"/>
      <c r="O10" s="8"/>
      <c r="Q10" s="9">
        <v>45928.0</v>
      </c>
      <c r="R10" s="8"/>
      <c r="S10" s="8"/>
    </row>
    <row r="11">
      <c r="A11" s="4">
        <v>45896.0</v>
      </c>
      <c r="B11" s="5" t="s">
        <v>34</v>
      </c>
      <c r="C11" s="6">
        <v>102.12</v>
      </c>
      <c r="D11" s="5" t="s">
        <v>35</v>
      </c>
      <c r="H11" s="7"/>
      <c r="K11" s="3"/>
      <c r="M11" s="9">
        <v>45929.0</v>
      </c>
      <c r="N11" s="8">
        <v>438.68</v>
      </c>
      <c r="O11" s="8">
        <f>N11-N8</f>
        <v>21.59</v>
      </c>
      <c r="Q11" s="9">
        <v>45929.0</v>
      </c>
      <c r="R11" s="8" t="s">
        <v>36</v>
      </c>
      <c r="S11" s="8" t="str">
        <f>R11-R9</f>
        <v>#VALUE!</v>
      </c>
    </row>
    <row r="12">
      <c r="A12" s="4">
        <v>45896.0</v>
      </c>
      <c r="B12" s="5" t="s">
        <v>37</v>
      </c>
      <c r="C12" s="6">
        <v>98.41</v>
      </c>
      <c r="D12" s="5" t="s">
        <v>12</v>
      </c>
      <c r="H12" s="7"/>
      <c r="J12" s="5" t="s">
        <v>38</v>
      </c>
      <c r="K12" s="8" t="s">
        <v>39</v>
      </c>
    </row>
    <row r="13">
      <c r="A13" s="4">
        <v>45896.0</v>
      </c>
      <c r="B13" s="5" t="s">
        <v>40</v>
      </c>
      <c r="C13" s="6">
        <v>61.4</v>
      </c>
      <c r="D13" s="5" t="s">
        <v>31</v>
      </c>
      <c r="H13" s="7"/>
      <c r="J13" s="5" t="s">
        <v>41</v>
      </c>
      <c r="K13" s="8" t="s">
        <v>42</v>
      </c>
    </row>
    <row r="14">
      <c r="A14" s="4">
        <v>45896.0</v>
      </c>
      <c r="B14" s="5" t="s">
        <v>43</v>
      </c>
      <c r="C14" s="6">
        <v>58.95</v>
      </c>
      <c r="D14" s="5" t="s">
        <v>35</v>
      </c>
      <c r="H14" s="7"/>
      <c r="J14" s="5" t="s">
        <v>44</v>
      </c>
      <c r="K14" s="10">
        <f>54.54+91+200</f>
        <v>345.54</v>
      </c>
    </row>
    <row r="15">
      <c r="A15" s="4">
        <v>45896.0</v>
      </c>
      <c r="B15" s="5" t="s">
        <v>45</v>
      </c>
      <c r="C15" s="6">
        <v>50.83</v>
      </c>
      <c r="D15" s="5" t="s">
        <v>31</v>
      </c>
      <c r="H15" s="7"/>
    </row>
    <row r="16">
      <c r="A16" s="4">
        <v>45896.0</v>
      </c>
      <c r="B16" s="5" t="s">
        <v>46</v>
      </c>
      <c r="C16" s="6">
        <v>49.99</v>
      </c>
      <c r="D16" s="5" t="s">
        <v>27</v>
      </c>
      <c r="H16" s="7"/>
      <c r="J16" s="13" t="s">
        <v>47</v>
      </c>
      <c r="K16" s="14">
        <f>K10-K5</f>
        <v>916.09</v>
      </c>
    </row>
    <row r="17">
      <c r="A17" s="4">
        <v>45896.0</v>
      </c>
      <c r="B17" s="5" t="s">
        <v>48</v>
      </c>
      <c r="C17" s="6">
        <v>35.0</v>
      </c>
      <c r="D17" s="5" t="s">
        <v>49</v>
      </c>
      <c r="H17" s="7"/>
      <c r="K17" s="3"/>
    </row>
    <row r="18">
      <c r="A18" s="4">
        <v>45897.0</v>
      </c>
      <c r="B18" s="5" t="s">
        <v>50</v>
      </c>
      <c r="C18" s="6">
        <v>125.33</v>
      </c>
      <c r="D18" s="5" t="s">
        <v>51</v>
      </c>
      <c r="H18" s="7"/>
      <c r="J18" s="15" t="s">
        <v>52</v>
      </c>
      <c r="K18" s="16" t="str">
        <f>K16+K14+K13-K12</f>
        <v>#VALUE!</v>
      </c>
    </row>
    <row r="19">
      <c r="A19" s="4">
        <v>45897.0</v>
      </c>
      <c r="B19" s="5" t="s">
        <v>53</v>
      </c>
      <c r="C19" s="6">
        <v>110.34</v>
      </c>
      <c r="D19" s="5" t="s">
        <v>51</v>
      </c>
      <c r="H19" s="7"/>
    </row>
    <row r="20">
      <c r="A20" s="4">
        <v>45897.0</v>
      </c>
      <c r="B20" s="5" t="s">
        <v>54</v>
      </c>
      <c r="C20" s="6">
        <v>57.99</v>
      </c>
      <c r="D20" s="5" t="s">
        <v>55</v>
      </c>
      <c r="H20" s="7"/>
    </row>
    <row r="21">
      <c r="A21" s="4">
        <v>45897.0</v>
      </c>
      <c r="B21" s="5" t="s">
        <v>56</v>
      </c>
      <c r="C21" s="6">
        <v>48.24</v>
      </c>
      <c r="D21" s="5" t="s">
        <v>51</v>
      </c>
      <c r="H21" s="7"/>
    </row>
    <row r="22">
      <c r="A22" s="4">
        <v>45897.0</v>
      </c>
      <c r="B22" s="5" t="s">
        <v>57</v>
      </c>
      <c r="C22" s="6">
        <v>35.97</v>
      </c>
      <c r="D22" s="5" t="s">
        <v>58</v>
      </c>
      <c r="H22" s="7"/>
      <c r="K22" s="3"/>
    </row>
    <row r="23">
      <c r="A23" s="4">
        <v>45897.0</v>
      </c>
      <c r="B23" s="5" t="s">
        <v>59</v>
      </c>
      <c r="C23" s="6">
        <v>25.9</v>
      </c>
      <c r="D23" s="5" t="s">
        <v>51</v>
      </c>
      <c r="H23" s="7"/>
      <c r="K23" s="3"/>
    </row>
    <row r="24">
      <c r="A24" s="4">
        <v>45897.0</v>
      </c>
      <c r="B24" s="5" t="s">
        <v>60</v>
      </c>
      <c r="C24" s="6">
        <v>25.0</v>
      </c>
      <c r="D24" s="5" t="s">
        <v>55</v>
      </c>
      <c r="H24" s="17" t="s">
        <v>62</v>
      </c>
      <c r="J24" s="17" t="s">
        <v>63</v>
      </c>
      <c r="K24" s="17" t="s">
        <v>64</v>
      </c>
      <c r="L24" s="18" t="s">
        <v>65</v>
      </c>
    </row>
    <row r="25">
      <c r="A25" s="4">
        <v>45897.0</v>
      </c>
      <c r="B25" s="5" t="s">
        <v>66</v>
      </c>
      <c r="C25" s="6">
        <v>24.9</v>
      </c>
      <c r="D25" s="5" t="s">
        <v>67</v>
      </c>
      <c r="G25" s="19" t="s">
        <v>68</v>
      </c>
      <c r="H25" s="20">
        <v>273.5</v>
      </c>
      <c r="J25" s="21">
        <v>140.79</v>
      </c>
      <c r="K25" s="20">
        <f t="shared" ref="K25:K29" si="3">J25*2</f>
        <v>281.58</v>
      </c>
      <c r="L25" s="20">
        <f t="shared" ref="L25:L29" si="4">H25-K25</f>
        <v>-8.08</v>
      </c>
    </row>
    <row r="26">
      <c r="A26" s="4">
        <v>45897.0</v>
      </c>
      <c r="B26" s="5" t="s">
        <v>69</v>
      </c>
      <c r="C26" s="6">
        <v>8.58</v>
      </c>
      <c r="D26" s="5" t="s">
        <v>51</v>
      </c>
      <c r="G26" s="19" t="s">
        <v>70</v>
      </c>
      <c r="H26" s="20">
        <v>263.04</v>
      </c>
      <c r="J26" s="20">
        <v>135.4</v>
      </c>
      <c r="K26" s="20">
        <f t="shared" si="3"/>
        <v>270.8</v>
      </c>
      <c r="L26" s="20">
        <f t="shared" si="4"/>
        <v>-7.76</v>
      </c>
    </row>
    <row r="27">
      <c r="A27" s="4">
        <v>45898.0</v>
      </c>
      <c r="B27" s="5" t="s">
        <v>71</v>
      </c>
      <c r="C27" s="6">
        <v>39.0</v>
      </c>
      <c r="D27" s="5" t="s">
        <v>55</v>
      </c>
      <c r="G27" s="19" t="s">
        <v>72</v>
      </c>
      <c r="H27" s="20">
        <v>248.6</v>
      </c>
      <c r="J27" s="21">
        <v>127.97</v>
      </c>
      <c r="K27" s="20">
        <f t="shared" si="3"/>
        <v>255.94</v>
      </c>
      <c r="L27" s="20">
        <f t="shared" si="4"/>
        <v>-7.34</v>
      </c>
    </row>
    <row r="28">
      <c r="A28" s="4">
        <v>45898.0</v>
      </c>
      <c r="B28" s="5" t="s">
        <v>73</v>
      </c>
      <c r="C28" s="6">
        <v>25.0</v>
      </c>
      <c r="D28" s="5" t="s">
        <v>51</v>
      </c>
      <c r="G28" s="19" t="s">
        <v>74</v>
      </c>
      <c r="H28" s="20">
        <v>203.7</v>
      </c>
      <c r="J28" s="21">
        <v>104.85</v>
      </c>
      <c r="K28" s="20">
        <f t="shared" si="3"/>
        <v>209.7</v>
      </c>
      <c r="L28" s="20">
        <f t="shared" si="4"/>
        <v>-6</v>
      </c>
    </row>
    <row r="29">
      <c r="A29" s="4">
        <v>45898.0</v>
      </c>
      <c r="B29" s="5" t="s">
        <v>75</v>
      </c>
      <c r="C29" s="6">
        <v>20.0</v>
      </c>
      <c r="D29" s="5" t="s">
        <v>55</v>
      </c>
      <c r="G29" s="5" t="s">
        <v>76</v>
      </c>
      <c r="H29" s="6">
        <v>154.8</v>
      </c>
      <c r="J29" s="21">
        <v>79.68</v>
      </c>
      <c r="K29" s="20">
        <f t="shared" si="3"/>
        <v>159.36</v>
      </c>
      <c r="L29" s="20">
        <f t="shared" si="4"/>
        <v>-4.56</v>
      </c>
    </row>
    <row r="30">
      <c r="A30" s="4">
        <v>45898.0</v>
      </c>
      <c r="B30" s="5" t="s">
        <v>77</v>
      </c>
      <c r="C30" s="6">
        <v>9.0</v>
      </c>
      <c r="D30" s="5" t="s">
        <v>67</v>
      </c>
      <c r="K30" s="3"/>
      <c r="L30" s="22">
        <f>sum(L25:L29)</f>
        <v>-33.74</v>
      </c>
    </row>
    <row r="31">
      <c r="A31" s="4">
        <v>45899.0</v>
      </c>
      <c r="B31" s="5" t="s">
        <v>78</v>
      </c>
      <c r="C31" s="6">
        <v>30.52</v>
      </c>
      <c r="D31" s="5" t="s">
        <v>51</v>
      </c>
    </row>
    <row r="32">
      <c r="A32" s="4">
        <v>45899.0</v>
      </c>
      <c r="B32" s="5" t="s">
        <v>79</v>
      </c>
      <c r="C32" s="6">
        <v>27.35</v>
      </c>
      <c r="D32" s="5" t="s">
        <v>51</v>
      </c>
      <c r="K32" s="3"/>
    </row>
    <row r="33">
      <c r="A33" s="4">
        <v>45899.0</v>
      </c>
      <c r="B33" s="5" t="s">
        <v>80</v>
      </c>
      <c r="C33" s="6">
        <v>23.5</v>
      </c>
      <c r="D33" s="5" t="s">
        <v>51</v>
      </c>
      <c r="K33" s="3"/>
    </row>
    <row r="34">
      <c r="A34" s="4">
        <v>45899.0</v>
      </c>
      <c r="B34" s="5" t="s">
        <v>81</v>
      </c>
      <c r="C34" s="6">
        <v>5.95</v>
      </c>
      <c r="D34" s="5" t="s">
        <v>67</v>
      </c>
      <c r="K34" s="3"/>
    </row>
    <row r="35">
      <c r="A35" s="4">
        <v>45900.0</v>
      </c>
      <c r="B35" s="5" t="s">
        <v>82</v>
      </c>
      <c r="C35" s="6">
        <v>188.05</v>
      </c>
      <c r="D35" s="5" t="s">
        <v>16</v>
      </c>
      <c r="K35" s="3"/>
    </row>
    <row r="36">
      <c r="A36" s="4">
        <v>45900.0</v>
      </c>
      <c r="B36" s="5" t="s">
        <v>83</v>
      </c>
      <c r="C36" s="6">
        <v>129.9</v>
      </c>
      <c r="D36" s="5" t="s">
        <v>55</v>
      </c>
      <c r="K36" s="3"/>
    </row>
    <row r="37">
      <c r="A37" s="4">
        <v>45900.0</v>
      </c>
      <c r="B37" s="5" t="s">
        <v>84</v>
      </c>
      <c r="C37" s="6">
        <v>94.98</v>
      </c>
      <c r="D37" s="5" t="s">
        <v>16</v>
      </c>
      <c r="K37" s="3"/>
    </row>
    <row r="38">
      <c r="A38" s="4">
        <v>45900.0</v>
      </c>
      <c r="B38" s="5" t="s">
        <v>85</v>
      </c>
      <c r="C38" s="6">
        <v>49.02</v>
      </c>
      <c r="D38" s="5" t="s">
        <v>51</v>
      </c>
      <c r="K38" s="3"/>
    </row>
    <row r="39">
      <c r="A39" s="4">
        <v>45900.0</v>
      </c>
      <c r="B39" s="5" t="s">
        <v>86</v>
      </c>
      <c r="C39" s="6">
        <v>20.37</v>
      </c>
      <c r="D39" s="5" t="s">
        <v>51</v>
      </c>
      <c r="K39" s="3"/>
    </row>
    <row r="40">
      <c r="A40" s="4">
        <v>45900.0</v>
      </c>
      <c r="B40" s="5" t="s">
        <v>87</v>
      </c>
      <c r="C40" s="6">
        <v>10.0</v>
      </c>
      <c r="D40" s="5" t="s">
        <v>51</v>
      </c>
      <c r="K40" s="3"/>
    </row>
    <row r="41">
      <c r="A41" s="4">
        <v>45901.0</v>
      </c>
      <c r="B41" s="5" t="s">
        <v>88</v>
      </c>
      <c r="C41" s="6">
        <v>432.84</v>
      </c>
      <c r="D41" s="5" t="s">
        <v>89</v>
      </c>
      <c r="K41" s="3"/>
    </row>
    <row r="42">
      <c r="A42" s="4">
        <v>45901.0</v>
      </c>
      <c r="B42" s="5" t="s">
        <v>90</v>
      </c>
      <c r="C42" s="6">
        <v>83.8</v>
      </c>
      <c r="D42" s="5" t="s">
        <v>51</v>
      </c>
      <c r="K42" s="3"/>
    </row>
    <row r="43">
      <c r="A43" s="4">
        <v>45901.0</v>
      </c>
      <c r="B43" s="5" t="s">
        <v>91</v>
      </c>
      <c r="C43" s="6">
        <v>61.68</v>
      </c>
      <c r="D43" s="5" t="s">
        <v>51</v>
      </c>
      <c r="K43" s="3"/>
    </row>
    <row r="44">
      <c r="A44" s="4">
        <v>45902.0</v>
      </c>
      <c r="B44" s="5" t="s">
        <v>92</v>
      </c>
      <c r="C44" s="6">
        <v>302.68</v>
      </c>
      <c r="D44" s="5" t="s">
        <v>93</v>
      </c>
      <c r="K44" s="3"/>
    </row>
    <row r="45">
      <c r="A45" s="4">
        <v>45902.0</v>
      </c>
      <c r="B45" s="5" t="s">
        <v>94</v>
      </c>
      <c r="C45" s="6">
        <v>260.51</v>
      </c>
      <c r="D45" s="5" t="s">
        <v>16</v>
      </c>
      <c r="K45" s="3"/>
    </row>
    <row r="46">
      <c r="A46" s="4">
        <v>45902.0</v>
      </c>
      <c r="B46" s="5" t="s">
        <v>95</v>
      </c>
      <c r="C46" s="6">
        <v>79.0</v>
      </c>
      <c r="D46" s="5" t="s">
        <v>51</v>
      </c>
      <c r="K46" s="3"/>
    </row>
    <row r="47">
      <c r="A47" s="4">
        <v>45902.0</v>
      </c>
      <c r="B47" s="5" t="s">
        <v>96</v>
      </c>
      <c r="C47" s="6">
        <v>69.21</v>
      </c>
      <c r="D47" s="5" t="s">
        <v>16</v>
      </c>
      <c r="K47" s="3"/>
    </row>
    <row r="48">
      <c r="A48" s="4">
        <v>45902.0</v>
      </c>
      <c r="B48" s="5" t="s">
        <v>97</v>
      </c>
      <c r="C48" s="6">
        <v>62.3</v>
      </c>
      <c r="D48" s="5" t="s">
        <v>31</v>
      </c>
      <c r="K48" s="3"/>
    </row>
    <row r="49">
      <c r="A49" s="4">
        <v>45902.0</v>
      </c>
      <c r="B49" s="23" t="s">
        <v>98</v>
      </c>
      <c r="C49" s="6">
        <v>57.8</v>
      </c>
      <c r="D49" s="5" t="s">
        <v>67</v>
      </c>
      <c r="K49" s="3"/>
    </row>
    <row r="50">
      <c r="A50" s="4">
        <v>45902.0</v>
      </c>
      <c r="B50" s="5" t="s">
        <v>99</v>
      </c>
      <c r="C50" s="6">
        <v>53.9</v>
      </c>
      <c r="D50" s="5" t="s">
        <v>67</v>
      </c>
      <c r="K50" s="3"/>
    </row>
    <row r="51">
      <c r="A51" s="4">
        <v>45902.0</v>
      </c>
      <c r="B51" s="5" t="s">
        <v>100</v>
      </c>
      <c r="C51" s="6">
        <v>27.9</v>
      </c>
      <c r="D51" s="5" t="s">
        <v>67</v>
      </c>
      <c r="K51" s="3"/>
    </row>
    <row r="52">
      <c r="A52" s="4">
        <v>45903.0</v>
      </c>
      <c r="B52" s="5" t="s">
        <v>101</v>
      </c>
      <c r="C52" s="6">
        <v>274.09</v>
      </c>
      <c r="D52" s="5" t="s">
        <v>35</v>
      </c>
      <c r="K52" s="3"/>
    </row>
    <row r="53">
      <c r="A53" s="4">
        <v>45903.0</v>
      </c>
      <c r="B53" s="5" t="s">
        <v>102</v>
      </c>
      <c r="C53" s="6">
        <v>113.19</v>
      </c>
      <c r="D53" s="5" t="s">
        <v>13</v>
      </c>
      <c r="K53" s="3"/>
    </row>
    <row r="54">
      <c r="A54" s="24">
        <v>45904.0</v>
      </c>
      <c r="B54" s="25" t="s">
        <v>103</v>
      </c>
      <c r="C54" s="20">
        <v>47.89</v>
      </c>
      <c r="D54" s="5" t="s">
        <v>104</v>
      </c>
      <c r="K54" s="3"/>
    </row>
    <row r="55">
      <c r="A55" s="24">
        <v>45904.0</v>
      </c>
      <c r="B55" s="25" t="s">
        <v>105</v>
      </c>
      <c r="C55" s="20">
        <v>46.64</v>
      </c>
      <c r="D55" s="5" t="s">
        <v>104</v>
      </c>
      <c r="K55" s="3"/>
    </row>
    <row r="56">
      <c r="A56" s="24">
        <v>45904.0</v>
      </c>
      <c r="B56" s="25" t="s">
        <v>106</v>
      </c>
      <c r="C56" s="20">
        <v>20.8</v>
      </c>
      <c r="D56" s="5" t="s">
        <v>35</v>
      </c>
      <c r="K56" s="3"/>
    </row>
    <row r="57">
      <c r="A57" s="24">
        <v>45906.0</v>
      </c>
      <c r="B57" s="25" t="s">
        <v>107</v>
      </c>
      <c r="C57" s="20">
        <v>16.0</v>
      </c>
      <c r="D57" s="5" t="s">
        <v>49</v>
      </c>
      <c r="K57" s="3"/>
    </row>
    <row r="58">
      <c r="A58" s="24">
        <v>45906.0</v>
      </c>
      <c r="B58" s="25" t="s">
        <v>108</v>
      </c>
      <c r="C58" s="20">
        <v>9.9</v>
      </c>
      <c r="D58" s="5" t="s">
        <v>67</v>
      </c>
      <c r="K58" s="3"/>
    </row>
    <row r="59">
      <c r="A59" s="24">
        <v>45907.0</v>
      </c>
      <c r="B59" s="25" t="s">
        <v>109</v>
      </c>
      <c r="C59" s="20">
        <v>145.2</v>
      </c>
      <c r="D59" s="5" t="s">
        <v>110</v>
      </c>
      <c r="K59" s="3"/>
    </row>
    <row r="60">
      <c r="A60" s="24">
        <v>45907.0</v>
      </c>
      <c r="B60" s="25" t="s">
        <v>111</v>
      </c>
      <c r="C60" s="20">
        <v>53.8</v>
      </c>
      <c r="D60" s="5" t="s">
        <v>49</v>
      </c>
      <c r="K60" s="3"/>
    </row>
    <row r="61">
      <c r="A61" s="24">
        <v>45907.0</v>
      </c>
      <c r="B61" s="25" t="s">
        <v>112</v>
      </c>
      <c r="C61" s="20">
        <v>25.0</v>
      </c>
      <c r="D61" s="5" t="s">
        <v>49</v>
      </c>
      <c r="K61" s="3"/>
    </row>
    <row r="62">
      <c r="A62" s="24">
        <v>45907.0</v>
      </c>
      <c r="B62" s="25" t="s">
        <v>113</v>
      </c>
      <c r="C62" s="20">
        <v>10.0</v>
      </c>
      <c r="D62" s="5" t="s">
        <v>49</v>
      </c>
      <c r="K62" s="3"/>
    </row>
    <row r="63">
      <c r="A63" s="24">
        <v>45908.0</v>
      </c>
      <c r="B63" s="25" t="s">
        <v>84</v>
      </c>
      <c r="C63" s="20">
        <v>43.96</v>
      </c>
      <c r="D63" s="5" t="s">
        <v>16</v>
      </c>
      <c r="K63" s="3"/>
    </row>
    <row r="64">
      <c r="A64" s="24">
        <v>45908.0</v>
      </c>
      <c r="B64" s="25" t="s">
        <v>114</v>
      </c>
      <c r="C64" s="20">
        <v>26.0</v>
      </c>
      <c r="D64" s="5" t="s">
        <v>49</v>
      </c>
      <c r="K64" s="3"/>
    </row>
    <row r="65">
      <c r="A65" s="24">
        <v>45908.0</v>
      </c>
      <c r="B65" s="25" t="s">
        <v>115</v>
      </c>
      <c r="C65" s="20">
        <v>12.0</v>
      </c>
      <c r="D65" s="5" t="s">
        <v>49</v>
      </c>
      <c r="K65" s="3"/>
    </row>
    <row r="66">
      <c r="A66" s="24">
        <v>45910.0</v>
      </c>
      <c r="B66" s="25" t="s">
        <v>116</v>
      </c>
      <c r="C66" s="20">
        <v>120.0</v>
      </c>
      <c r="D66" s="5" t="s">
        <v>16</v>
      </c>
      <c r="K66" s="3"/>
    </row>
    <row r="67">
      <c r="A67" s="24">
        <v>45910.0</v>
      </c>
      <c r="B67" s="25" t="s">
        <v>117</v>
      </c>
      <c r="C67" s="20">
        <v>25.56</v>
      </c>
      <c r="D67" s="5" t="s">
        <v>110</v>
      </c>
      <c r="K67" s="3"/>
    </row>
    <row r="68">
      <c r="A68" s="24">
        <v>45910.0</v>
      </c>
      <c r="B68" s="25" t="s">
        <v>118</v>
      </c>
      <c r="C68" s="20">
        <v>11.18</v>
      </c>
      <c r="D68" s="5" t="s">
        <v>49</v>
      </c>
      <c r="K68" s="3"/>
    </row>
    <row r="69">
      <c r="A69" s="24">
        <v>45911.0</v>
      </c>
      <c r="B69" s="25" t="s">
        <v>119</v>
      </c>
      <c r="C69" s="20">
        <v>89.9</v>
      </c>
      <c r="D69" s="5" t="s">
        <v>13</v>
      </c>
      <c r="K69" s="3"/>
    </row>
    <row r="70">
      <c r="A70" s="24">
        <v>45911.0</v>
      </c>
      <c r="B70" s="25" t="s">
        <v>119</v>
      </c>
      <c r="C70" s="20">
        <v>60.0</v>
      </c>
      <c r="D70" s="5" t="s">
        <v>49</v>
      </c>
      <c r="K70" s="3"/>
    </row>
    <row r="71">
      <c r="A71" s="24">
        <v>45911.0</v>
      </c>
      <c r="B71" s="25" t="s">
        <v>120</v>
      </c>
      <c r="C71" s="20">
        <v>40.0</v>
      </c>
      <c r="D71" s="5" t="s">
        <v>49</v>
      </c>
      <c r="K71" s="3"/>
    </row>
    <row r="72">
      <c r="A72" s="24">
        <v>45911.0</v>
      </c>
      <c r="B72" s="25" t="s">
        <v>40</v>
      </c>
      <c r="C72" s="20">
        <v>21.0</v>
      </c>
      <c r="D72" s="5" t="s">
        <v>31</v>
      </c>
      <c r="K72" s="3"/>
    </row>
    <row r="73">
      <c r="A73" s="24">
        <v>45912.0</v>
      </c>
      <c r="B73" s="25" t="s">
        <v>121</v>
      </c>
      <c r="C73" s="20">
        <v>196.95</v>
      </c>
      <c r="D73" s="5" t="s">
        <v>16</v>
      </c>
      <c r="K73" s="3"/>
    </row>
    <row r="74">
      <c r="A74" s="24">
        <v>45912.0</v>
      </c>
      <c r="B74" s="25" t="s">
        <v>122</v>
      </c>
      <c r="C74" s="20">
        <v>153.29</v>
      </c>
      <c r="D74" s="5" t="s">
        <v>16</v>
      </c>
      <c r="K74" s="3"/>
    </row>
    <row r="75">
      <c r="A75" s="24">
        <v>45912.0</v>
      </c>
      <c r="B75" s="25" t="s">
        <v>123</v>
      </c>
      <c r="C75" s="20">
        <v>9.99</v>
      </c>
      <c r="D75" s="5" t="s">
        <v>67</v>
      </c>
      <c r="K75" s="3"/>
    </row>
    <row r="76">
      <c r="A76" s="24">
        <v>45913.0</v>
      </c>
      <c r="B76" s="25" t="s">
        <v>124</v>
      </c>
      <c r="C76" s="20">
        <v>25.0</v>
      </c>
      <c r="D76" s="5" t="s">
        <v>16</v>
      </c>
      <c r="K76" s="3"/>
    </row>
    <row r="77">
      <c r="A77" s="24">
        <v>45914.0</v>
      </c>
      <c r="B77" s="25" t="s">
        <v>125</v>
      </c>
      <c r="C77" s="20">
        <v>19.97</v>
      </c>
      <c r="D77" s="5" t="s">
        <v>31</v>
      </c>
      <c r="K77" s="3"/>
    </row>
    <row r="78">
      <c r="A78" s="24">
        <v>45915.0</v>
      </c>
      <c r="B78" s="25" t="s">
        <v>126</v>
      </c>
      <c r="C78" s="20">
        <v>179.9</v>
      </c>
      <c r="D78" s="5" t="s">
        <v>35</v>
      </c>
      <c r="K78" s="3"/>
    </row>
    <row r="79">
      <c r="A79" s="24">
        <v>45915.0</v>
      </c>
      <c r="B79" s="25" t="s">
        <v>45</v>
      </c>
      <c r="C79" s="20">
        <v>79.49</v>
      </c>
      <c r="D79" s="5" t="s">
        <v>31</v>
      </c>
      <c r="K79" s="3"/>
    </row>
    <row r="80">
      <c r="A80" s="24">
        <v>45915.0</v>
      </c>
      <c r="B80" s="25" t="s">
        <v>127</v>
      </c>
      <c r="C80" s="20">
        <v>45.78</v>
      </c>
      <c r="D80" s="5" t="s">
        <v>110</v>
      </c>
      <c r="K80" s="3"/>
    </row>
    <row r="81">
      <c r="A81" s="24">
        <v>45915.0</v>
      </c>
      <c r="B81" s="25" t="s">
        <v>40</v>
      </c>
      <c r="C81" s="20">
        <v>34.99</v>
      </c>
      <c r="D81" s="5" t="s">
        <v>31</v>
      </c>
      <c r="K81" s="3"/>
    </row>
    <row r="82">
      <c r="A82" s="26">
        <v>45916.0</v>
      </c>
      <c r="B82" s="25" t="s">
        <v>128</v>
      </c>
      <c r="C82" s="20">
        <v>65.9</v>
      </c>
      <c r="D82" s="5" t="s">
        <v>49</v>
      </c>
      <c r="K82" s="3"/>
    </row>
    <row r="83">
      <c r="A83" s="26">
        <v>45918.0</v>
      </c>
      <c r="B83" s="25" t="s">
        <v>129</v>
      </c>
      <c r="C83" s="20">
        <v>53.8</v>
      </c>
      <c r="D83" s="5" t="s">
        <v>13</v>
      </c>
      <c r="K83" s="3"/>
    </row>
    <row r="84">
      <c r="A84" s="26">
        <v>45918.0</v>
      </c>
      <c r="B84" s="25" t="s">
        <v>124</v>
      </c>
      <c r="C84" s="20">
        <v>25.0</v>
      </c>
      <c r="D84" s="5" t="s">
        <v>16</v>
      </c>
      <c r="K84" s="3"/>
    </row>
    <row r="85">
      <c r="A85" s="26">
        <v>45919.0</v>
      </c>
      <c r="B85" s="25" t="s">
        <v>31</v>
      </c>
      <c r="C85" s="20">
        <v>12.99</v>
      </c>
      <c r="D85" s="5" t="s">
        <v>31</v>
      </c>
      <c r="K85" s="3"/>
    </row>
    <row r="86">
      <c r="A86" s="26">
        <v>45920.0</v>
      </c>
      <c r="B86" s="25" t="s">
        <v>31</v>
      </c>
      <c r="C86" s="20">
        <v>59.63</v>
      </c>
      <c r="D86" s="5" t="s">
        <v>31</v>
      </c>
      <c r="K86" s="3"/>
    </row>
    <row r="87">
      <c r="A87" s="26">
        <v>45920.0</v>
      </c>
      <c r="B87" s="25" t="s">
        <v>130</v>
      </c>
      <c r="C87" s="20">
        <v>40.6</v>
      </c>
      <c r="D87" s="5" t="s">
        <v>31</v>
      </c>
      <c r="K87" s="3"/>
    </row>
    <row r="88">
      <c r="A88" s="26">
        <v>45921.0</v>
      </c>
      <c r="B88" s="25" t="s">
        <v>131</v>
      </c>
      <c r="C88" s="20">
        <v>25.58</v>
      </c>
      <c r="D88" s="5" t="s">
        <v>132</v>
      </c>
      <c r="K88" s="3"/>
    </row>
    <row r="89">
      <c r="A89" s="26">
        <v>45922.0</v>
      </c>
      <c r="B89" s="25" t="s">
        <v>31</v>
      </c>
      <c r="C89" s="20">
        <v>41.27</v>
      </c>
      <c r="D89" s="5" t="s">
        <v>31</v>
      </c>
      <c r="K89" s="3"/>
    </row>
    <row r="90">
      <c r="A90" s="26">
        <v>45922.0</v>
      </c>
      <c r="B90" s="25" t="s">
        <v>133</v>
      </c>
      <c r="C90" s="20">
        <v>22.01</v>
      </c>
      <c r="D90" s="5" t="s">
        <v>110</v>
      </c>
      <c r="K90" s="3"/>
    </row>
    <row r="91">
      <c r="A91" s="26">
        <v>45924.0</v>
      </c>
      <c r="B91" s="25" t="s">
        <v>134</v>
      </c>
      <c r="C91" s="20">
        <v>125.0</v>
      </c>
      <c r="D91" s="5" t="s">
        <v>49</v>
      </c>
      <c r="K91" s="3"/>
    </row>
    <row r="92">
      <c r="A92" s="26">
        <v>45924.0</v>
      </c>
      <c r="B92" s="25" t="s">
        <v>135</v>
      </c>
      <c r="C92" s="20">
        <v>40.95</v>
      </c>
      <c r="D92" s="5" t="s">
        <v>31</v>
      </c>
      <c r="K92" s="3"/>
    </row>
    <row r="93">
      <c r="A93" s="26">
        <v>45924.0</v>
      </c>
      <c r="B93" s="25" t="s">
        <v>136</v>
      </c>
      <c r="C93" s="20">
        <v>26.9</v>
      </c>
      <c r="D93" s="5" t="s">
        <v>132</v>
      </c>
      <c r="K93" s="3"/>
    </row>
    <row r="94">
      <c r="A94" s="26">
        <v>45924.0</v>
      </c>
      <c r="B94" s="25" t="s">
        <v>137</v>
      </c>
      <c r="C94" s="20">
        <v>16.8</v>
      </c>
      <c r="D94" s="5" t="s">
        <v>31</v>
      </c>
      <c r="K94" s="3"/>
    </row>
    <row r="95">
      <c r="A95" s="26">
        <v>45924.0</v>
      </c>
      <c r="B95" s="25" t="s">
        <v>135</v>
      </c>
      <c r="C95" s="20">
        <v>8.59</v>
      </c>
      <c r="D95" s="5" t="s">
        <v>31</v>
      </c>
      <c r="K95" s="3"/>
    </row>
    <row r="96">
      <c r="A96" s="4">
        <v>45933.0</v>
      </c>
      <c r="B96" s="5" t="s">
        <v>138</v>
      </c>
      <c r="C96" s="6">
        <v>140.79</v>
      </c>
      <c r="D96" s="5" t="s">
        <v>139</v>
      </c>
      <c r="K96" s="3"/>
    </row>
    <row r="97">
      <c r="A97" s="4">
        <v>45933.0</v>
      </c>
      <c r="B97" s="5" t="s">
        <v>140</v>
      </c>
      <c r="C97" s="6">
        <v>135.4</v>
      </c>
      <c r="D97" s="5" t="s">
        <v>139</v>
      </c>
      <c r="K97" s="3"/>
    </row>
    <row r="98">
      <c r="A98" s="4">
        <v>45933.0</v>
      </c>
      <c r="B98" s="5" t="s">
        <v>141</v>
      </c>
      <c r="C98" s="6">
        <v>127.97</v>
      </c>
      <c r="D98" s="5" t="s">
        <v>139</v>
      </c>
      <c r="K98" s="3"/>
    </row>
    <row r="99">
      <c r="A99" s="4">
        <v>45933.0</v>
      </c>
      <c r="B99" s="5" t="s">
        <v>142</v>
      </c>
      <c r="C99" s="6">
        <v>104.85</v>
      </c>
      <c r="D99" s="5" t="s">
        <v>139</v>
      </c>
      <c r="K99" s="3"/>
    </row>
    <row r="100">
      <c r="A100" s="4">
        <v>45933.0</v>
      </c>
      <c r="B100" s="5" t="s">
        <v>143</v>
      </c>
      <c r="C100" s="6">
        <v>79.68</v>
      </c>
      <c r="D100" s="5" t="s">
        <v>139</v>
      </c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A120" s="27"/>
      <c r="C120" s="22"/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A126" s="27"/>
      <c r="C126" s="22"/>
      <c r="K126" s="3"/>
    </row>
    <row r="127">
      <c r="A127" s="27"/>
      <c r="C127" s="22"/>
      <c r="K127" s="3"/>
    </row>
    <row r="128">
      <c r="A128" s="27"/>
      <c r="C128" s="22"/>
      <c r="K128" s="3"/>
    </row>
    <row r="129">
      <c r="A129" s="27"/>
      <c r="C129" s="22"/>
      <c r="K129" s="3"/>
    </row>
    <row r="130">
      <c r="A130" s="27"/>
      <c r="C130" s="22"/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A826" s="27"/>
      <c r="C826" s="22"/>
      <c r="K826" s="3"/>
    </row>
    <row r="827">
      <c r="A827" s="27"/>
      <c r="C827" s="22"/>
      <c r="K827" s="3"/>
    </row>
    <row r="828">
      <c r="A828" s="27"/>
      <c r="C828" s="22"/>
      <c r="K828" s="3"/>
    </row>
    <row r="829">
      <c r="A829" s="27"/>
      <c r="C829" s="22"/>
      <c r="K829" s="3"/>
    </row>
    <row r="830">
      <c r="A830" s="27"/>
      <c r="C830" s="22"/>
      <c r="K830" s="3"/>
    </row>
    <row r="831">
      <c r="A831" s="27"/>
      <c r="C831" s="22"/>
      <c r="K831" s="3"/>
    </row>
    <row r="832">
      <c r="A832" s="27"/>
      <c r="C832" s="22"/>
      <c r="K832" s="3"/>
    </row>
    <row r="833">
      <c r="A833" s="27"/>
      <c r="C833" s="22"/>
      <c r="K833" s="3"/>
    </row>
    <row r="834">
      <c r="A834" s="27"/>
      <c r="C834" s="22"/>
      <c r="K834" s="3"/>
    </row>
    <row r="835">
      <c r="A835" s="27"/>
      <c r="C835" s="22"/>
      <c r="K835" s="3"/>
    </row>
    <row r="836">
      <c r="A836" s="27"/>
      <c r="C836" s="22"/>
      <c r="K836" s="3"/>
    </row>
    <row r="837">
      <c r="A837" s="27"/>
      <c r="C837" s="22"/>
      <c r="K837" s="3"/>
    </row>
    <row r="838">
      <c r="A838" s="27"/>
      <c r="C838" s="22"/>
      <c r="K838" s="3"/>
    </row>
    <row r="839">
      <c r="A839" s="27"/>
      <c r="C839" s="22"/>
      <c r="K839" s="3"/>
    </row>
    <row r="840">
      <c r="A840" s="27"/>
      <c r="C840" s="22"/>
      <c r="K840" s="3"/>
    </row>
    <row r="841">
      <c r="A841" s="27"/>
      <c r="C841" s="22"/>
      <c r="K841" s="3"/>
    </row>
    <row r="842">
      <c r="A842" s="27"/>
      <c r="C842" s="22"/>
      <c r="K842" s="3"/>
    </row>
    <row r="843">
      <c r="A843" s="27"/>
      <c r="C843" s="22"/>
      <c r="K843" s="3"/>
    </row>
    <row r="844">
      <c r="A844" s="27"/>
      <c r="C844" s="22"/>
      <c r="K844" s="3"/>
    </row>
    <row r="845">
      <c r="A845" s="27"/>
      <c r="C845" s="22"/>
      <c r="K845" s="3"/>
    </row>
    <row r="846">
      <c r="A846" s="27"/>
      <c r="C846" s="22"/>
      <c r="K846" s="3"/>
    </row>
    <row r="847">
      <c r="A847" s="27"/>
      <c r="C847" s="22"/>
      <c r="K847" s="3"/>
    </row>
    <row r="848">
      <c r="A848" s="27"/>
      <c r="C848" s="22"/>
      <c r="K848" s="3"/>
    </row>
    <row r="849">
      <c r="A849" s="27"/>
      <c r="C849" s="22"/>
      <c r="K849" s="3"/>
    </row>
    <row r="850">
      <c r="A850" s="27"/>
      <c r="C850" s="22"/>
      <c r="K850" s="3"/>
    </row>
    <row r="851">
      <c r="A851" s="27"/>
      <c r="C851" s="22"/>
      <c r="K851" s="3"/>
    </row>
    <row r="852">
      <c r="A852" s="27"/>
      <c r="C852" s="22"/>
      <c r="K852" s="3"/>
    </row>
    <row r="853">
      <c r="A853" s="27"/>
      <c r="C853" s="22"/>
      <c r="K853" s="3"/>
    </row>
    <row r="854">
      <c r="A854" s="27"/>
      <c r="C854" s="22"/>
      <c r="K854" s="3"/>
    </row>
    <row r="855">
      <c r="A855" s="27"/>
      <c r="C855" s="22"/>
      <c r="K855" s="3"/>
    </row>
    <row r="856">
      <c r="A856" s="27"/>
      <c r="C856" s="22"/>
      <c r="K856" s="3"/>
    </row>
    <row r="857">
      <c r="A857" s="27"/>
      <c r="C857" s="22"/>
      <c r="K857" s="3"/>
    </row>
    <row r="858">
      <c r="A858" s="27"/>
      <c r="C858" s="22"/>
      <c r="K858" s="3"/>
    </row>
    <row r="859">
      <c r="A859" s="27"/>
      <c r="C859" s="22"/>
      <c r="K859" s="3"/>
    </row>
    <row r="860">
      <c r="A860" s="27"/>
      <c r="C860" s="22"/>
      <c r="K860" s="3"/>
    </row>
    <row r="861">
      <c r="A861" s="27"/>
      <c r="C861" s="22"/>
      <c r="K861" s="3"/>
    </row>
    <row r="862">
      <c r="A862" s="27"/>
      <c r="C862" s="22"/>
      <c r="K862" s="3"/>
    </row>
    <row r="863">
      <c r="A863" s="27"/>
      <c r="C863" s="22"/>
      <c r="K863" s="3"/>
    </row>
    <row r="864">
      <c r="A864" s="27"/>
      <c r="C864" s="22"/>
      <c r="K864" s="3"/>
    </row>
    <row r="865">
      <c r="A865" s="27"/>
      <c r="C865" s="22"/>
      <c r="K865" s="3"/>
    </row>
    <row r="866">
      <c r="A866" s="27"/>
      <c r="C866" s="22"/>
      <c r="K866" s="3"/>
    </row>
    <row r="867">
      <c r="A867" s="27"/>
      <c r="C867" s="22"/>
      <c r="K867" s="3"/>
    </row>
    <row r="868">
      <c r="A868" s="27"/>
      <c r="C868" s="22"/>
      <c r="K868" s="3"/>
    </row>
    <row r="869">
      <c r="A869" s="27"/>
      <c r="C869" s="22"/>
      <c r="K869" s="3"/>
    </row>
    <row r="870">
      <c r="A870" s="27"/>
      <c r="C870" s="22"/>
      <c r="K870" s="3"/>
    </row>
    <row r="871">
      <c r="A871" s="27"/>
      <c r="C871" s="22"/>
      <c r="K871" s="3"/>
    </row>
    <row r="872">
      <c r="A872" s="27"/>
      <c r="C872" s="22"/>
      <c r="K872" s="3"/>
    </row>
    <row r="873">
      <c r="A873" s="27"/>
      <c r="C873" s="22"/>
      <c r="K873" s="3"/>
    </row>
    <row r="874">
      <c r="A874" s="27"/>
      <c r="C874" s="22"/>
      <c r="K874" s="3"/>
    </row>
    <row r="875">
      <c r="A875" s="27"/>
      <c r="C875" s="22"/>
      <c r="K875" s="3"/>
    </row>
    <row r="876">
      <c r="A876" s="27"/>
      <c r="C876" s="22"/>
      <c r="K876" s="3"/>
    </row>
    <row r="877">
      <c r="A877" s="27"/>
      <c r="C877" s="22"/>
      <c r="K877" s="3"/>
    </row>
    <row r="878">
      <c r="A878" s="27"/>
      <c r="C878" s="22"/>
      <c r="K878" s="3"/>
    </row>
    <row r="879">
      <c r="A879" s="27"/>
      <c r="C879" s="22"/>
      <c r="K879" s="3"/>
    </row>
    <row r="880">
      <c r="A880" s="27"/>
      <c r="C880" s="22"/>
      <c r="K880" s="3"/>
    </row>
    <row r="881">
      <c r="A881" s="27"/>
      <c r="C881" s="22"/>
      <c r="K881" s="3"/>
    </row>
    <row r="882">
      <c r="A882" s="27"/>
      <c r="C882" s="22"/>
      <c r="K882" s="3"/>
    </row>
    <row r="883">
      <c r="A883" s="27"/>
      <c r="C883" s="22"/>
      <c r="K883" s="3"/>
    </row>
    <row r="884">
      <c r="A884" s="27"/>
      <c r="C884" s="22"/>
      <c r="K884" s="3"/>
    </row>
    <row r="885">
      <c r="A885" s="27"/>
      <c r="C885" s="22"/>
      <c r="K885" s="3"/>
    </row>
    <row r="886">
      <c r="A886" s="27"/>
      <c r="C886" s="22"/>
      <c r="K886" s="3"/>
    </row>
    <row r="887">
      <c r="A887" s="27"/>
      <c r="C887" s="22"/>
      <c r="K887" s="3"/>
    </row>
    <row r="888">
      <c r="A888" s="27"/>
      <c r="C888" s="22"/>
      <c r="K888" s="3"/>
    </row>
    <row r="889">
      <c r="A889" s="27"/>
      <c r="C889" s="22"/>
      <c r="K889" s="3"/>
    </row>
    <row r="890">
      <c r="A890" s="27"/>
      <c r="C890" s="22"/>
      <c r="K890" s="3"/>
    </row>
    <row r="891">
      <c r="A891" s="27"/>
      <c r="C891" s="22"/>
      <c r="K891" s="3"/>
    </row>
    <row r="892">
      <c r="A892" s="27"/>
      <c r="C892" s="22"/>
      <c r="K892" s="3"/>
    </row>
    <row r="893">
      <c r="A893" s="27"/>
      <c r="C893" s="22"/>
      <c r="K893" s="3"/>
    </row>
    <row r="894">
      <c r="A894" s="27"/>
      <c r="C894" s="22"/>
      <c r="K894" s="3"/>
    </row>
    <row r="895">
      <c r="A895" s="27"/>
      <c r="C895" s="22"/>
      <c r="K895" s="3"/>
    </row>
    <row r="896">
      <c r="A896" s="27"/>
      <c r="C896" s="22"/>
      <c r="K896" s="3"/>
    </row>
    <row r="897">
      <c r="A897" s="27"/>
      <c r="C897" s="22"/>
      <c r="K897" s="3"/>
    </row>
    <row r="898">
      <c r="A898" s="27"/>
      <c r="C898" s="22"/>
      <c r="K898" s="3"/>
    </row>
    <row r="899">
      <c r="A899" s="27"/>
      <c r="C899" s="22"/>
      <c r="K899" s="3"/>
    </row>
    <row r="900">
      <c r="A900" s="27"/>
      <c r="C900" s="22"/>
      <c r="K900" s="3"/>
    </row>
    <row r="901">
      <c r="A901" s="27"/>
      <c r="C901" s="22"/>
      <c r="K901" s="3"/>
    </row>
    <row r="902">
      <c r="A902" s="27"/>
      <c r="C902" s="22"/>
      <c r="K902" s="3"/>
    </row>
    <row r="903">
      <c r="A903" s="27"/>
      <c r="C903" s="22"/>
      <c r="K903" s="3"/>
    </row>
    <row r="904">
      <c r="A904" s="27"/>
      <c r="C904" s="22"/>
      <c r="K904" s="3"/>
    </row>
    <row r="905">
      <c r="A905" s="27"/>
      <c r="C905" s="22"/>
      <c r="K905" s="3"/>
    </row>
    <row r="906">
      <c r="A906" s="27"/>
      <c r="C906" s="22"/>
      <c r="K906" s="3"/>
    </row>
    <row r="907">
      <c r="A907" s="27"/>
      <c r="C907" s="22"/>
      <c r="K907" s="3"/>
    </row>
    <row r="908">
      <c r="A908" s="27"/>
      <c r="C908" s="22"/>
      <c r="K908" s="3"/>
    </row>
    <row r="909">
      <c r="A909" s="27"/>
      <c r="C909" s="22"/>
      <c r="K909" s="3"/>
    </row>
    <row r="910">
      <c r="A910" s="27"/>
      <c r="C910" s="22"/>
      <c r="K910" s="3"/>
    </row>
    <row r="911">
      <c r="A911" s="27"/>
      <c r="C911" s="22"/>
      <c r="K911" s="3"/>
    </row>
    <row r="912">
      <c r="A912" s="27"/>
      <c r="C912" s="22"/>
      <c r="K912" s="3"/>
    </row>
    <row r="913">
      <c r="A913" s="27"/>
      <c r="C913" s="22"/>
      <c r="K913" s="3"/>
    </row>
    <row r="914">
      <c r="A914" s="27"/>
      <c r="C914" s="22"/>
      <c r="K914" s="3"/>
    </row>
    <row r="915">
      <c r="A915" s="27"/>
      <c r="C915" s="22"/>
      <c r="K915" s="3"/>
    </row>
    <row r="916">
      <c r="A916" s="27"/>
      <c r="C916" s="22"/>
      <c r="K916" s="3"/>
    </row>
    <row r="917">
      <c r="A917" s="27"/>
      <c r="C917" s="22"/>
      <c r="K917" s="3"/>
    </row>
    <row r="918">
      <c r="A918" s="27"/>
      <c r="C918" s="22"/>
      <c r="K918" s="3"/>
    </row>
    <row r="919">
      <c r="A919" s="27"/>
      <c r="C919" s="22"/>
      <c r="K919" s="3"/>
    </row>
    <row r="920">
      <c r="A920" s="27"/>
      <c r="C920" s="22"/>
      <c r="K920" s="3"/>
    </row>
    <row r="921">
      <c r="A921" s="27"/>
      <c r="C921" s="22"/>
      <c r="K921" s="3"/>
    </row>
    <row r="922">
      <c r="A922" s="27"/>
      <c r="C922" s="22"/>
      <c r="K922" s="3"/>
    </row>
    <row r="923">
      <c r="A923" s="27"/>
      <c r="C923" s="22"/>
      <c r="K923" s="3"/>
    </row>
    <row r="924">
      <c r="A924" s="27"/>
      <c r="C924" s="22"/>
      <c r="K924" s="3"/>
    </row>
    <row r="925">
      <c r="A925" s="27"/>
      <c r="C925" s="22"/>
      <c r="K925" s="3"/>
    </row>
    <row r="926">
      <c r="A926" s="27"/>
      <c r="C926" s="22"/>
      <c r="K926" s="3"/>
    </row>
    <row r="927">
      <c r="A927" s="27"/>
      <c r="C927" s="22"/>
      <c r="K927" s="3"/>
    </row>
    <row r="928">
      <c r="A928" s="27"/>
      <c r="C928" s="22"/>
      <c r="K928" s="3"/>
    </row>
    <row r="929">
      <c r="A929" s="27"/>
      <c r="C929" s="22"/>
      <c r="K929" s="3"/>
    </row>
    <row r="930">
      <c r="A930" s="27"/>
      <c r="C930" s="22"/>
      <c r="K930" s="3"/>
    </row>
    <row r="931">
      <c r="A931" s="27"/>
      <c r="C931" s="22"/>
      <c r="K931" s="3"/>
    </row>
    <row r="932">
      <c r="A932" s="27"/>
      <c r="C932" s="22"/>
      <c r="K932" s="3"/>
    </row>
    <row r="933">
      <c r="A933" s="27"/>
      <c r="C933" s="22"/>
      <c r="K933" s="3"/>
    </row>
    <row r="934">
      <c r="A934" s="27"/>
      <c r="C934" s="22"/>
      <c r="K934" s="3"/>
    </row>
    <row r="935">
      <c r="A935" s="27"/>
      <c r="C935" s="22"/>
      <c r="K935" s="3"/>
    </row>
    <row r="936">
      <c r="A936" s="27"/>
      <c r="C936" s="22"/>
      <c r="K936" s="3"/>
    </row>
    <row r="937">
      <c r="A937" s="27"/>
      <c r="C937" s="22"/>
      <c r="K937" s="3"/>
    </row>
    <row r="938">
      <c r="A938" s="27"/>
      <c r="C938" s="22"/>
      <c r="K938" s="3"/>
    </row>
    <row r="939">
      <c r="A939" s="27"/>
      <c r="C939" s="22"/>
      <c r="K939" s="3"/>
    </row>
    <row r="940">
      <c r="A940" s="27"/>
      <c r="C940" s="22"/>
      <c r="K940" s="3"/>
    </row>
    <row r="941">
      <c r="A941" s="27"/>
      <c r="C941" s="22"/>
      <c r="K941" s="3"/>
    </row>
    <row r="942">
      <c r="A942" s="27"/>
      <c r="C942" s="22"/>
      <c r="K942" s="3"/>
    </row>
    <row r="943">
      <c r="A943" s="27"/>
      <c r="C943" s="22"/>
      <c r="K943" s="3"/>
    </row>
    <row r="944">
      <c r="A944" s="27"/>
      <c r="C944" s="22"/>
      <c r="K944" s="3"/>
    </row>
    <row r="945">
      <c r="A945" s="27"/>
      <c r="C945" s="22"/>
      <c r="K945" s="3"/>
    </row>
    <row r="946">
      <c r="A946" s="27"/>
      <c r="C946" s="22"/>
      <c r="K946" s="3"/>
    </row>
    <row r="947">
      <c r="A947" s="27"/>
      <c r="C947" s="22"/>
      <c r="K947" s="3"/>
    </row>
    <row r="948">
      <c r="A948" s="27"/>
      <c r="C948" s="22"/>
      <c r="K948" s="3"/>
    </row>
    <row r="949">
      <c r="A949" s="27"/>
      <c r="C949" s="22"/>
      <c r="K949" s="3"/>
    </row>
    <row r="950">
      <c r="A950" s="27"/>
      <c r="C950" s="22"/>
      <c r="K950" s="3"/>
    </row>
    <row r="951">
      <c r="A951" s="27"/>
      <c r="C951" s="22"/>
      <c r="K951" s="3"/>
    </row>
    <row r="952">
      <c r="A952" s="27"/>
      <c r="C952" s="22"/>
      <c r="K952" s="3"/>
    </row>
    <row r="953">
      <c r="A953" s="27"/>
      <c r="C953" s="22"/>
      <c r="K953" s="3"/>
    </row>
    <row r="954">
      <c r="A954" s="27"/>
      <c r="C954" s="22"/>
      <c r="K954" s="3"/>
    </row>
    <row r="955">
      <c r="A955" s="27"/>
      <c r="C955" s="22"/>
      <c r="K955" s="3"/>
    </row>
    <row r="956">
      <c r="A956" s="27"/>
      <c r="C956" s="22"/>
      <c r="K956" s="3"/>
    </row>
    <row r="957">
      <c r="A957" s="27"/>
      <c r="C957" s="22"/>
      <c r="K957" s="3"/>
    </row>
    <row r="958">
      <c r="A958" s="27"/>
      <c r="C958" s="22"/>
      <c r="K958" s="3"/>
    </row>
    <row r="959">
      <c r="A959" s="27"/>
      <c r="C959" s="22"/>
      <c r="K959" s="3"/>
    </row>
    <row r="960">
      <c r="A960" s="27"/>
      <c r="C960" s="22"/>
      <c r="K960" s="3"/>
    </row>
    <row r="961">
      <c r="A961" s="27"/>
      <c r="C961" s="22"/>
      <c r="K961" s="3"/>
    </row>
    <row r="962">
      <c r="A962" s="27"/>
      <c r="C962" s="22"/>
      <c r="K962" s="3"/>
    </row>
    <row r="963">
      <c r="A963" s="27"/>
      <c r="C963" s="22"/>
      <c r="K963" s="3"/>
    </row>
    <row r="964">
      <c r="A964" s="27"/>
      <c r="C964" s="22"/>
      <c r="K964" s="3"/>
    </row>
    <row r="965">
      <c r="A965" s="27"/>
      <c r="C965" s="22"/>
      <c r="K965" s="3"/>
    </row>
    <row r="966">
      <c r="A966" s="27"/>
      <c r="C966" s="22"/>
      <c r="K966" s="3"/>
    </row>
    <row r="967">
      <c r="A967" s="27"/>
      <c r="C967" s="22"/>
      <c r="K967" s="3"/>
    </row>
    <row r="968">
      <c r="A968" s="27"/>
      <c r="C968" s="22"/>
      <c r="K968" s="3"/>
    </row>
    <row r="969">
      <c r="A969" s="27"/>
      <c r="C969" s="22"/>
      <c r="K969" s="3"/>
    </row>
    <row r="970">
      <c r="A970" s="27"/>
      <c r="C970" s="22"/>
      <c r="K970" s="3"/>
    </row>
    <row r="971">
      <c r="A971" s="27"/>
      <c r="C971" s="22"/>
      <c r="K971" s="3"/>
    </row>
    <row r="972">
      <c r="A972" s="27"/>
      <c r="C972" s="22"/>
      <c r="K972" s="3"/>
    </row>
    <row r="973">
      <c r="A973" s="27"/>
      <c r="C973" s="22"/>
      <c r="K973" s="3"/>
    </row>
    <row r="974">
      <c r="A974" s="27"/>
      <c r="C974" s="22"/>
      <c r="K974" s="3"/>
    </row>
    <row r="975">
      <c r="A975" s="27"/>
      <c r="C975" s="22"/>
      <c r="K975" s="3"/>
    </row>
    <row r="976">
      <c r="A976" s="27"/>
      <c r="C976" s="22"/>
      <c r="K976" s="3"/>
    </row>
    <row r="977">
      <c r="A977" s="27"/>
      <c r="C977" s="22"/>
      <c r="K977" s="3"/>
    </row>
    <row r="978">
      <c r="A978" s="27"/>
      <c r="C978" s="22"/>
      <c r="K978" s="3"/>
    </row>
    <row r="979">
      <c r="A979" s="27"/>
      <c r="C979" s="22"/>
      <c r="K979" s="3"/>
    </row>
    <row r="980">
      <c r="A980" s="27"/>
      <c r="C980" s="22"/>
      <c r="K980" s="3"/>
    </row>
    <row r="981">
      <c r="A981" s="27"/>
      <c r="C981" s="22"/>
      <c r="K981" s="3"/>
    </row>
    <row r="982">
      <c r="A982" s="27"/>
      <c r="C982" s="22"/>
      <c r="K982" s="3"/>
    </row>
    <row r="983">
      <c r="A983" s="27"/>
      <c r="C983" s="22"/>
      <c r="K983" s="3"/>
    </row>
    <row r="984">
      <c r="A984" s="27"/>
      <c r="C984" s="22"/>
      <c r="K984" s="3"/>
    </row>
    <row r="985">
      <c r="A985" s="27"/>
      <c r="C985" s="22"/>
      <c r="K985" s="3"/>
    </row>
    <row r="986">
      <c r="A986" s="27"/>
      <c r="C986" s="22"/>
      <c r="K986" s="3"/>
    </row>
    <row r="987">
      <c r="A987" s="27"/>
      <c r="C987" s="22"/>
      <c r="K987" s="3"/>
    </row>
    <row r="988">
      <c r="A988" s="27"/>
      <c r="C988" s="22"/>
      <c r="K988" s="3"/>
    </row>
    <row r="989">
      <c r="A989" s="27"/>
      <c r="C989" s="22"/>
      <c r="K989" s="3"/>
    </row>
    <row r="990">
      <c r="A990" s="27"/>
      <c r="C990" s="22"/>
      <c r="K990" s="3"/>
    </row>
    <row r="991">
      <c r="A991" s="27"/>
      <c r="C991" s="22"/>
      <c r="K991" s="3"/>
    </row>
    <row r="992">
      <c r="A992" s="27"/>
      <c r="C992" s="22"/>
      <c r="K992" s="3"/>
    </row>
    <row r="993">
      <c r="A993" s="27"/>
      <c r="C993" s="22"/>
      <c r="K993" s="3"/>
    </row>
    <row r="994">
      <c r="A994" s="27"/>
      <c r="C994" s="22"/>
      <c r="K994" s="3"/>
    </row>
    <row r="995">
      <c r="A995" s="27"/>
      <c r="C995" s="22"/>
      <c r="K995" s="3"/>
    </row>
    <row r="996">
      <c r="A996" s="27"/>
      <c r="C996" s="22"/>
      <c r="K996" s="3"/>
    </row>
    <row r="997">
      <c r="A997" s="27"/>
      <c r="C997" s="22"/>
      <c r="K997" s="3"/>
    </row>
    <row r="998">
      <c r="A998" s="27"/>
      <c r="C998" s="22"/>
      <c r="K998" s="3"/>
    </row>
    <row r="999">
      <c r="A999" s="27"/>
      <c r="C999" s="22"/>
      <c r="K999" s="3"/>
    </row>
    <row r="1000">
      <c r="A1000" s="27"/>
      <c r="C1000" s="22"/>
      <c r="K1000" s="3"/>
    </row>
    <row r="1001">
      <c r="A1001" s="27"/>
      <c r="C1001" s="22"/>
      <c r="K1001" s="3"/>
    </row>
    <row r="1002">
      <c r="A1002" s="27"/>
      <c r="C1002" s="22"/>
      <c r="K1002" s="3"/>
    </row>
    <row r="1003">
      <c r="A1003" s="27"/>
      <c r="C1003" s="22"/>
      <c r="K1003" s="3"/>
    </row>
    <row r="1004">
      <c r="A1004" s="27"/>
      <c r="C1004" s="22"/>
      <c r="K1004" s="3"/>
    </row>
    <row r="1005">
      <c r="A1005" s="27"/>
      <c r="C1005" s="22"/>
      <c r="K1005" s="3"/>
    </row>
    <row r="1006">
      <c r="A1006" s="27"/>
      <c r="C1006" s="22"/>
      <c r="K1006" s="3"/>
    </row>
    <row r="1007">
      <c r="A1007" s="27"/>
      <c r="C1007" s="22"/>
      <c r="K1007" s="3"/>
    </row>
    <row r="1008">
      <c r="A1008" s="27"/>
      <c r="C1008" s="22"/>
      <c r="K1008" s="3"/>
    </row>
    <row r="1009">
      <c r="A1009" s="27"/>
      <c r="C1009" s="22"/>
      <c r="K1009" s="3"/>
    </row>
    <row r="1010">
      <c r="A1010" s="27"/>
      <c r="C1010" s="22"/>
      <c r="K1010" s="3"/>
    </row>
    <row r="1011">
      <c r="A1011" s="27"/>
      <c r="C1011" s="22"/>
      <c r="K1011" s="3"/>
    </row>
    <row r="1012">
      <c r="A1012" s="27"/>
      <c r="C1012" s="22"/>
      <c r="K1012" s="3"/>
    </row>
    <row r="1013">
      <c r="A1013" s="27"/>
      <c r="C1013" s="22"/>
      <c r="K1013" s="3"/>
    </row>
    <row r="1014">
      <c r="A1014" s="27"/>
      <c r="C1014" s="22"/>
      <c r="K1014" s="3"/>
    </row>
    <row r="1015">
      <c r="A1015" s="27"/>
      <c r="C1015" s="22"/>
      <c r="K1015" s="3"/>
    </row>
    <row r="1016">
      <c r="A1016" s="27"/>
      <c r="C1016" s="22"/>
      <c r="K1016" s="3"/>
    </row>
    <row r="1017">
      <c r="A1017" s="27"/>
      <c r="C1017" s="22"/>
      <c r="K1017" s="3"/>
    </row>
    <row r="1018">
      <c r="A1018" s="27"/>
      <c r="C1018" s="22"/>
      <c r="K1018" s="3"/>
    </row>
    <row r="1019">
      <c r="A1019" s="27"/>
      <c r="C1019" s="22"/>
      <c r="K1019" s="3"/>
    </row>
    <row r="1020">
      <c r="A1020" s="27"/>
      <c r="C1020" s="22"/>
      <c r="K1020" s="3"/>
    </row>
    <row r="1021">
      <c r="A1021" s="27"/>
      <c r="C1021" s="22"/>
      <c r="K1021" s="3"/>
    </row>
    <row r="1022">
      <c r="A1022" s="27"/>
      <c r="C1022" s="22"/>
      <c r="K1022" s="3"/>
    </row>
    <row r="1023">
      <c r="A1023" s="27"/>
      <c r="C1023" s="22"/>
      <c r="K1023" s="3"/>
    </row>
    <row r="1024">
      <c r="A1024" s="27"/>
      <c r="C1024" s="22"/>
      <c r="K1024" s="3"/>
    </row>
    <row r="1025">
      <c r="A1025" s="27"/>
      <c r="C1025" s="22"/>
      <c r="K1025" s="3"/>
    </row>
    <row r="1026">
      <c r="A1026" s="27"/>
      <c r="C1026" s="22"/>
      <c r="K1026" s="3"/>
    </row>
    <row r="1027">
      <c r="A1027" s="27"/>
      <c r="C1027" s="22"/>
      <c r="K1027" s="3"/>
    </row>
    <row r="1028">
      <c r="A1028" s="27"/>
      <c r="C1028" s="22"/>
      <c r="K1028" s="3"/>
    </row>
  </sheetData>
  <autoFilter ref="$A$1:$D$100">
    <sortState ref="A1:D100">
      <sortCondition ref="A1:A100"/>
      <sortCondition descending="1" ref="C1:C100"/>
    </sortState>
  </autoFilter>
  <hyperlinks>
    <hyperlink r:id="rId2" ref="B4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0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2" max="12" width="16.25"/>
    <col customWidth="1" min="13" max="13" width="15.0"/>
    <col customWidth="1" min="14" max="14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45928.0</v>
      </c>
      <c r="B2" s="5" t="s">
        <v>144</v>
      </c>
      <c r="C2" s="6">
        <v>59.95</v>
      </c>
      <c r="D2" s="5" t="s">
        <v>35</v>
      </c>
      <c r="F2" s="28" t="s">
        <v>145</v>
      </c>
      <c r="G2" s="29">
        <f>SUM(C:C)</f>
        <v>9261.76</v>
      </c>
      <c r="J2" s="5" t="s">
        <v>6</v>
      </c>
      <c r="K2" s="8">
        <f>G2</f>
        <v>9261.76</v>
      </c>
    </row>
    <row r="3">
      <c r="A3" s="4">
        <v>45942.0</v>
      </c>
      <c r="B3" s="5" t="s">
        <v>146</v>
      </c>
      <c r="C3" s="6">
        <v>11.97</v>
      </c>
      <c r="D3" s="5" t="s">
        <v>31</v>
      </c>
      <c r="J3" s="5" t="s">
        <v>13</v>
      </c>
      <c r="K3" s="8">
        <f>SUMIF(D:D, "Pedro", C:C)</f>
        <v>1538.41</v>
      </c>
    </row>
    <row r="4">
      <c r="A4" s="4">
        <v>45952.0</v>
      </c>
      <c r="B4" s="5" t="s">
        <v>146</v>
      </c>
      <c r="C4" s="6">
        <v>29.76</v>
      </c>
      <c r="D4" s="5" t="s">
        <v>31</v>
      </c>
      <c r="J4" s="5" t="s">
        <v>89</v>
      </c>
      <c r="K4" s="8">
        <f>SUMIF(D:D, "Mãe", C:C)</f>
        <v>432.82</v>
      </c>
    </row>
    <row r="5">
      <c r="A5" s="4">
        <v>45947.0</v>
      </c>
      <c r="B5" s="5" t="s">
        <v>148</v>
      </c>
      <c r="C5" s="6">
        <v>23.0</v>
      </c>
      <c r="D5" s="5" t="s">
        <v>149</v>
      </c>
      <c r="J5" s="5" t="s">
        <v>151</v>
      </c>
      <c r="K5" s="8">
        <f>200-(M28+M32)</f>
        <v>116.6666667</v>
      </c>
    </row>
    <row r="6">
      <c r="A6" s="4">
        <v>45951.0</v>
      </c>
      <c r="B6" s="5" t="s">
        <v>152</v>
      </c>
      <c r="C6" s="6">
        <v>30.45</v>
      </c>
      <c r="D6" s="5" t="s">
        <v>149</v>
      </c>
      <c r="J6" s="5" t="s">
        <v>154</v>
      </c>
      <c r="K6" s="8">
        <f>K36-M36</f>
        <v>40.425</v>
      </c>
    </row>
    <row r="7">
      <c r="A7" s="4">
        <v>45951.0</v>
      </c>
      <c r="B7" s="5" t="s">
        <v>155</v>
      </c>
      <c r="C7" s="6">
        <v>28.49</v>
      </c>
      <c r="D7" s="5" t="s">
        <v>149</v>
      </c>
      <c r="J7" s="11" t="s">
        <v>19</v>
      </c>
      <c r="K7" s="12">
        <f>K2-(sum(K3:K6))</f>
        <v>7133.438333</v>
      </c>
    </row>
    <row r="8">
      <c r="A8" s="4">
        <v>45936.0</v>
      </c>
      <c r="B8" s="5" t="s">
        <v>157</v>
      </c>
      <c r="C8" s="6">
        <v>64.0</v>
      </c>
      <c r="D8" s="5" t="s">
        <v>13</v>
      </c>
    </row>
    <row r="9">
      <c r="A9" s="4">
        <v>45931.0</v>
      </c>
      <c r="B9" s="5" t="s">
        <v>117</v>
      </c>
      <c r="C9" s="6">
        <v>28.73</v>
      </c>
      <c r="D9" s="5" t="s">
        <v>110</v>
      </c>
      <c r="J9" s="5" t="s">
        <v>24</v>
      </c>
      <c r="K9" s="8">
        <v>433.0</v>
      </c>
    </row>
    <row r="10">
      <c r="A10" s="4">
        <v>45947.0</v>
      </c>
      <c r="B10" s="5" t="s">
        <v>117</v>
      </c>
      <c r="C10" s="6">
        <v>31.63</v>
      </c>
      <c r="D10" s="5" t="s">
        <v>149</v>
      </c>
      <c r="J10" s="5" t="s">
        <v>28</v>
      </c>
      <c r="K10" s="8" t="s">
        <v>161</v>
      </c>
    </row>
    <row r="11">
      <c r="A11" s="4">
        <v>45943.0</v>
      </c>
      <c r="B11" s="5" t="s">
        <v>162</v>
      </c>
      <c r="C11" s="6">
        <v>81.95</v>
      </c>
      <c r="D11" s="5" t="s">
        <v>149</v>
      </c>
      <c r="J11" s="5" t="s">
        <v>7</v>
      </c>
      <c r="K11" s="8">
        <v>0.0</v>
      </c>
    </row>
    <row r="12">
      <c r="A12" s="4">
        <v>45926.0</v>
      </c>
      <c r="B12" s="5" t="s">
        <v>164</v>
      </c>
      <c r="C12" s="6">
        <v>256.19</v>
      </c>
      <c r="D12" s="5" t="s">
        <v>5</v>
      </c>
      <c r="J12" s="5" t="s">
        <v>6</v>
      </c>
      <c r="K12" s="10">
        <f>sum(K9:K11)</f>
        <v>433</v>
      </c>
    </row>
    <row r="13">
      <c r="A13" s="4">
        <v>45943.0</v>
      </c>
      <c r="B13" s="5" t="s">
        <v>166</v>
      </c>
      <c r="C13" s="6">
        <v>10.9</v>
      </c>
      <c r="D13" s="5" t="s">
        <v>149</v>
      </c>
      <c r="K13" s="3"/>
    </row>
    <row r="14">
      <c r="A14" s="4">
        <v>45943.0</v>
      </c>
      <c r="B14" s="5" t="s">
        <v>166</v>
      </c>
      <c r="C14" s="6">
        <v>38.6</v>
      </c>
      <c r="D14" s="5" t="s">
        <v>149</v>
      </c>
      <c r="J14" s="5" t="s">
        <v>169</v>
      </c>
      <c r="K14" s="8"/>
    </row>
    <row r="15">
      <c r="A15" s="4">
        <v>45936.0</v>
      </c>
      <c r="B15" s="5" t="s">
        <v>108</v>
      </c>
      <c r="C15" s="6">
        <v>9.9</v>
      </c>
      <c r="D15" s="5" t="s">
        <v>67</v>
      </c>
      <c r="J15" s="5" t="s">
        <v>171</v>
      </c>
      <c r="K15" s="8" t="s">
        <v>172</v>
      </c>
    </row>
    <row r="16">
      <c r="A16" s="4">
        <v>45929.0</v>
      </c>
      <c r="B16" s="5" t="s">
        <v>173</v>
      </c>
      <c r="C16" s="6">
        <v>4.0</v>
      </c>
      <c r="D16" s="5" t="s">
        <v>104</v>
      </c>
      <c r="J16" s="5" t="s">
        <v>6</v>
      </c>
      <c r="K16" s="10">
        <f>sum(K13:K15)</f>
        <v>0</v>
      </c>
    </row>
    <row r="17">
      <c r="A17" s="4">
        <v>45928.0</v>
      </c>
      <c r="B17" s="5" t="s">
        <v>175</v>
      </c>
      <c r="C17" s="6">
        <v>110.88</v>
      </c>
      <c r="D17" s="5" t="s">
        <v>110</v>
      </c>
    </row>
    <row r="18">
      <c r="A18" s="4">
        <v>45928.0</v>
      </c>
      <c r="B18" s="5" t="s">
        <v>177</v>
      </c>
      <c r="C18" s="6">
        <v>60.0</v>
      </c>
      <c r="D18" s="5" t="s">
        <v>13</v>
      </c>
      <c r="J18" s="5" t="s">
        <v>179</v>
      </c>
      <c r="K18" s="10">
        <f>K16+K12</f>
        <v>433</v>
      </c>
    </row>
    <row r="19">
      <c r="A19" s="4">
        <v>45929.0</v>
      </c>
      <c r="B19" s="5" t="s">
        <v>180</v>
      </c>
      <c r="C19" s="6">
        <v>22.0</v>
      </c>
      <c r="D19" s="5" t="s">
        <v>181</v>
      </c>
    </row>
    <row r="20">
      <c r="A20" s="4">
        <v>45945.0</v>
      </c>
      <c r="B20" s="5" t="s">
        <v>40</v>
      </c>
      <c r="C20" s="6">
        <v>24.99</v>
      </c>
      <c r="D20" s="5" t="s">
        <v>183</v>
      </c>
      <c r="J20" s="5" t="s">
        <v>38</v>
      </c>
      <c r="K20" s="8">
        <v>950.0</v>
      </c>
    </row>
    <row r="21">
      <c r="A21" s="4">
        <v>45945.0</v>
      </c>
      <c r="B21" s="5" t="s">
        <v>40</v>
      </c>
      <c r="C21" s="6">
        <v>92.98</v>
      </c>
      <c r="D21" s="5" t="s">
        <v>183</v>
      </c>
    </row>
    <row r="22">
      <c r="A22" s="4">
        <v>45931.0</v>
      </c>
      <c r="B22" s="5" t="s">
        <v>186</v>
      </c>
      <c r="C22" s="6">
        <v>117.5</v>
      </c>
      <c r="D22" s="5" t="s">
        <v>183</v>
      </c>
      <c r="J22" s="30" t="s">
        <v>47</v>
      </c>
      <c r="K22" s="31">
        <f>K18-K7-K20</f>
        <v>-7650.438333</v>
      </c>
    </row>
    <row r="23">
      <c r="A23" s="4">
        <v>45926.0</v>
      </c>
      <c r="B23" s="5" t="s">
        <v>188</v>
      </c>
      <c r="C23" s="6">
        <v>162.9</v>
      </c>
      <c r="D23" s="5" t="s">
        <v>12</v>
      </c>
    </row>
    <row r="24">
      <c r="A24" s="4">
        <v>45926.0</v>
      </c>
      <c r="B24" s="5" t="s">
        <v>190</v>
      </c>
      <c r="C24" s="6">
        <v>153.28</v>
      </c>
      <c r="D24" s="5" t="s">
        <v>16</v>
      </c>
    </row>
    <row r="25">
      <c r="A25" s="4">
        <v>45945.0</v>
      </c>
      <c r="B25" s="5" t="s">
        <v>192</v>
      </c>
      <c r="C25" s="6">
        <v>72.5</v>
      </c>
      <c r="D25" s="5" t="s">
        <v>183</v>
      </c>
    </row>
    <row r="26">
      <c r="A26" s="4">
        <v>45926.0</v>
      </c>
      <c r="B26" s="5" t="s">
        <v>194</v>
      </c>
      <c r="C26" s="6">
        <v>58.95</v>
      </c>
      <c r="D26" s="5" t="s">
        <v>35</v>
      </c>
      <c r="J26" s="32" t="s">
        <v>196</v>
      </c>
      <c r="K26" s="33"/>
      <c r="L26" s="33"/>
      <c r="M26" s="34"/>
    </row>
    <row r="27">
      <c r="A27" s="4">
        <v>45940.0</v>
      </c>
      <c r="B27" s="5" t="s">
        <v>197</v>
      </c>
      <c r="C27" s="6">
        <v>19.0</v>
      </c>
      <c r="D27" s="5" t="s">
        <v>31</v>
      </c>
      <c r="J27" s="35" t="s">
        <v>199</v>
      </c>
      <c r="K27" s="35" t="s">
        <v>200</v>
      </c>
      <c r="L27" s="35" t="s">
        <v>201</v>
      </c>
      <c r="M27" s="35" t="s">
        <v>202</v>
      </c>
    </row>
    <row r="28">
      <c r="A28" s="4">
        <v>45926.0</v>
      </c>
      <c r="B28" s="5" t="s">
        <v>203</v>
      </c>
      <c r="C28" s="6">
        <v>22.0</v>
      </c>
      <c r="D28" s="5" t="s">
        <v>110</v>
      </c>
      <c r="J28" s="36" t="s">
        <v>205</v>
      </c>
      <c r="K28" s="36">
        <v>100.0</v>
      </c>
      <c r="L28" s="36">
        <f>K28/6</f>
        <v>16.66666667</v>
      </c>
      <c r="M28" s="36">
        <f>L28*2</f>
        <v>33.33333333</v>
      </c>
    </row>
    <row r="29">
      <c r="A29" s="4">
        <v>45926.0</v>
      </c>
      <c r="B29" s="5" t="s">
        <v>206</v>
      </c>
      <c r="C29" s="6">
        <v>432.82</v>
      </c>
      <c r="D29" s="5" t="s">
        <v>89</v>
      </c>
    </row>
    <row r="30">
      <c r="A30" s="4">
        <v>45929.0</v>
      </c>
      <c r="B30" s="5" t="s">
        <v>208</v>
      </c>
      <c r="C30" s="6">
        <v>6.0</v>
      </c>
      <c r="D30" s="5" t="s">
        <v>13</v>
      </c>
      <c r="J30" s="32" t="s">
        <v>196</v>
      </c>
      <c r="K30" s="33"/>
      <c r="L30" s="33"/>
      <c r="M30" s="34"/>
    </row>
    <row r="31">
      <c r="A31" s="4">
        <v>45929.0</v>
      </c>
      <c r="B31" s="5" t="s">
        <v>208</v>
      </c>
      <c r="C31" s="6">
        <v>115.0</v>
      </c>
      <c r="D31" s="5" t="s">
        <v>13</v>
      </c>
      <c r="J31" s="35" t="s">
        <v>199</v>
      </c>
      <c r="K31" s="35" t="s">
        <v>200</v>
      </c>
      <c r="L31" s="35" t="s">
        <v>211</v>
      </c>
      <c r="M31" s="35" t="s">
        <v>202</v>
      </c>
    </row>
    <row r="32">
      <c r="A32" s="4">
        <v>45933.0</v>
      </c>
      <c r="B32" s="5" t="s">
        <v>208</v>
      </c>
      <c r="C32" s="6">
        <v>17.0</v>
      </c>
      <c r="D32" s="5" t="s">
        <v>13</v>
      </c>
      <c r="J32" s="36" t="s">
        <v>212</v>
      </c>
      <c r="K32" s="36">
        <v>100.0</v>
      </c>
      <c r="L32" s="36">
        <f>K32/4</f>
        <v>25</v>
      </c>
      <c r="M32" s="36">
        <f>L32*2</f>
        <v>50</v>
      </c>
    </row>
    <row r="33">
      <c r="A33" s="4">
        <v>45933.0</v>
      </c>
      <c r="B33" s="5" t="s">
        <v>213</v>
      </c>
      <c r="C33" s="6">
        <v>34.0</v>
      </c>
      <c r="D33" s="5" t="s">
        <v>13</v>
      </c>
      <c r="K33" s="3"/>
    </row>
    <row r="34">
      <c r="A34" s="4">
        <v>45936.0</v>
      </c>
      <c r="B34" s="5" t="s">
        <v>214</v>
      </c>
      <c r="C34" s="6">
        <v>51.0</v>
      </c>
      <c r="D34" s="5" t="s">
        <v>149</v>
      </c>
      <c r="J34" s="32" t="s">
        <v>215</v>
      </c>
      <c r="K34" s="33"/>
      <c r="L34" s="33"/>
      <c r="M34" s="34"/>
    </row>
    <row r="35">
      <c r="A35" s="4">
        <v>45942.0</v>
      </c>
      <c r="B35" s="5" t="s">
        <v>216</v>
      </c>
      <c r="C35" s="6">
        <v>84.3</v>
      </c>
      <c r="D35" s="5" t="s">
        <v>132</v>
      </c>
      <c r="J35" s="35" t="s">
        <v>199</v>
      </c>
      <c r="K35" s="35" t="s">
        <v>200</v>
      </c>
      <c r="L35" s="35" t="s">
        <v>211</v>
      </c>
      <c r="M35" s="35" t="s">
        <v>217</v>
      </c>
    </row>
    <row r="36">
      <c r="A36" s="4">
        <v>45942.0</v>
      </c>
      <c r="B36" s="5" t="s">
        <v>216</v>
      </c>
      <c r="C36" s="6">
        <v>99.05</v>
      </c>
      <c r="D36" s="5" t="s">
        <v>132</v>
      </c>
      <c r="J36" s="36" t="s">
        <v>218</v>
      </c>
      <c r="K36" s="36">
        <v>53.9</v>
      </c>
      <c r="L36" s="36">
        <f>K36/4</f>
        <v>13.475</v>
      </c>
      <c r="M36" s="36">
        <f>L36</f>
        <v>13.475</v>
      </c>
    </row>
    <row r="37">
      <c r="A37" s="4">
        <v>45947.0</v>
      </c>
      <c r="B37" s="5" t="s">
        <v>216</v>
      </c>
      <c r="C37" s="6">
        <v>14.79</v>
      </c>
      <c r="D37" s="5" t="s">
        <v>132</v>
      </c>
    </row>
    <row r="38">
      <c r="A38" s="4">
        <v>45927.0</v>
      </c>
      <c r="B38" s="5" t="s">
        <v>219</v>
      </c>
      <c r="C38" s="6">
        <v>40.9</v>
      </c>
      <c r="D38" s="5" t="s">
        <v>67</v>
      </c>
    </row>
    <row r="39">
      <c r="A39" s="4">
        <v>45946.0</v>
      </c>
      <c r="B39" s="5" t="s">
        <v>220</v>
      </c>
      <c r="C39" s="6">
        <v>65.9</v>
      </c>
      <c r="D39" s="5" t="s">
        <v>49</v>
      </c>
    </row>
    <row r="40">
      <c r="A40" s="4">
        <v>45926.0</v>
      </c>
      <c r="B40" s="5" t="s">
        <v>221</v>
      </c>
      <c r="C40" s="6">
        <v>142.5</v>
      </c>
      <c r="D40" s="5" t="s">
        <v>21</v>
      </c>
    </row>
    <row r="41">
      <c r="A41" s="4">
        <v>45943.0</v>
      </c>
      <c r="B41" s="5" t="s">
        <v>114</v>
      </c>
      <c r="C41" s="6">
        <v>26.0</v>
      </c>
      <c r="D41" s="5" t="s">
        <v>149</v>
      </c>
    </row>
    <row r="42">
      <c r="A42" s="4">
        <v>45927.0</v>
      </c>
      <c r="B42" s="5" t="s">
        <v>124</v>
      </c>
      <c r="C42" s="6">
        <v>25.0</v>
      </c>
      <c r="D42" s="5" t="s">
        <v>16</v>
      </c>
    </row>
    <row r="43">
      <c r="A43" s="4">
        <v>45933.0</v>
      </c>
      <c r="B43" s="5" t="s">
        <v>124</v>
      </c>
      <c r="C43" s="6">
        <v>25.0</v>
      </c>
      <c r="D43" s="5" t="s">
        <v>16</v>
      </c>
    </row>
    <row r="44">
      <c r="A44" s="4">
        <v>45934.0</v>
      </c>
      <c r="B44" s="5" t="s">
        <v>124</v>
      </c>
      <c r="C44" s="6">
        <v>25.0</v>
      </c>
      <c r="D44" s="5" t="s">
        <v>16</v>
      </c>
    </row>
    <row r="45">
      <c r="A45" s="4">
        <v>45941.0</v>
      </c>
      <c r="B45" s="5" t="s">
        <v>124</v>
      </c>
      <c r="C45" s="6">
        <v>25.0</v>
      </c>
      <c r="D45" s="5" t="s">
        <v>16</v>
      </c>
      <c r="K45" s="3"/>
    </row>
    <row r="46">
      <c r="A46" s="4">
        <v>45953.0</v>
      </c>
      <c r="B46" s="5" t="s">
        <v>124</v>
      </c>
      <c r="C46" s="6">
        <v>25.0</v>
      </c>
      <c r="D46" s="5" t="s">
        <v>16</v>
      </c>
      <c r="K46" s="3"/>
    </row>
    <row r="47">
      <c r="A47" s="4">
        <v>45926.0</v>
      </c>
      <c r="B47" s="5" t="s">
        <v>222</v>
      </c>
      <c r="C47" s="6">
        <v>102.12</v>
      </c>
      <c r="D47" s="5" t="s">
        <v>12</v>
      </c>
      <c r="K47" s="3"/>
    </row>
    <row r="48">
      <c r="A48" s="4">
        <v>45928.0</v>
      </c>
      <c r="B48" s="5" t="s">
        <v>223</v>
      </c>
      <c r="C48" s="6">
        <v>25.0</v>
      </c>
      <c r="D48" s="5" t="s">
        <v>13</v>
      </c>
      <c r="K48" s="3"/>
    </row>
    <row r="49">
      <c r="A49" s="4">
        <v>45937.0</v>
      </c>
      <c r="B49" s="5" t="s">
        <v>224</v>
      </c>
      <c r="C49" s="6">
        <v>19.34</v>
      </c>
      <c r="D49" s="5" t="s">
        <v>225</v>
      </c>
      <c r="K49" s="3"/>
    </row>
    <row r="50">
      <c r="A50" s="4">
        <v>45928.0</v>
      </c>
      <c r="B50" s="5" t="s">
        <v>226</v>
      </c>
      <c r="C50" s="6">
        <v>93.7</v>
      </c>
      <c r="D50" s="5" t="s">
        <v>13</v>
      </c>
      <c r="K50" s="3"/>
    </row>
    <row r="51">
      <c r="A51" s="4">
        <v>45934.0</v>
      </c>
      <c r="B51" s="5" t="s">
        <v>226</v>
      </c>
      <c r="C51" s="6">
        <v>92.99</v>
      </c>
      <c r="D51" s="5" t="s">
        <v>13</v>
      </c>
      <c r="K51" s="3"/>
    </row>
    <row r="52">
      <c r="A52" s="4">
        <v>45943.0</v>
      </c>
      <c r="B52" s="5" t="s">
        <v>123</v>
      </c>
      <c r="C52" s="6">
        <v>9.99</v>
      </c>
      <c r="D52" s="5" t="s">
        <v>67</v>
      </c>
      <c r="K52" s="3"/>
    </row>
    <row r="53">
      <c r="A53" s="4">
        <v>45932.0</v>
      </c>
      <c r="B53" s="5" t="s">
        <v>99</v>
      </c>
      <c r="C53" s="6">
        <v>53.9</v>
      </c>
      <c r="D53" s="5" t="s">
        <v>67</v>
      </c>
      <c r="K53" s="3"/>
    </row>
    <row r="54">
      <c r="A54" s="4">
        <v>45955.0</v>
      </c>
      <c r="B54" s="5" t="s">
        <v>227</v>
      </c>
      <c r="C54" s="6">
        <v>33.0</v>
      </c>
      <c r="D54" s="5" t="s">
        <v>149</v>
      </c>
      <c r="K54" s="3"/>
    </row>
    <row r="55">
      <c r="A55" s="4">
        <v>45927.0</v>
      </c>
      <c r="B55" s="5" t="s">
        <v>228</v>
      </c>
      <c r="C55" s="6">
        <v>19.67</v>
      </c>
      <c r="D55" s="5" t="s">
        <v>110</v>
      </c>
      <c r="K55" s="3"/>
    </row>
    <row r="56">
      <c r="A56" s="4">
        <v>45929.0</v>
      </c>
      <c r="B56" s="5" t="s">
        <v>229</v>
      </c>
      <c r="C56" s="6">
        <v>25.0</v>
      </c>
      <c r="D56" s="5" t="s">
        <v>181</v>
      </c>
      <c r="K56" s="3"/>
    </row>
    <row r="57">
      <c r="A57" s="4">
        <v>45929.0</v>
      </c>
      <c r="B57" s="5" t="s">
        <v>230</v>
      </c>
      <c r="C57" s="6">
        <v>27.83</v>
      </c>
      <c r="D57" s="5" t="s">
        <v>181</v>
      </c>
      <c r="K57" s="3"/>
    </row>
    <row r="58">
      <c r="A58" s="4">
        <v>45938.0</v>
      </c>
      <c r="B58" s="5" t="s">
        <v>231</v>
      </c>
      <c r="C58" s="6">
        <v>10.0</v>
      </c>
      <c r="D58" s="5" t="s">
        <v>225</v>
      </c>
      <c r="K58" s="3"/>
    </row>
    <row r="59">
      <c r="A59" s="4">
        <v>45943.0</v>
      </c>
      <c r="B59" s="5" t="s">
        <v>232</v>
      </c>
      <c r="C59" s="6">
        <v>19.0</v>
      </c>
      <c r="D59" s="5" t="s">
        <v>16</v>
      </c>
      <c r="K59" s="3"/>
    </row>
    <row r="60">
      <c r="A60" s="4">
        <v>45926.0</v>
      </c>
      <c r="B60" s="5" t="s">
        <v>233</v>
      </c>
      <c r="C60" s="6">
        <v>98.41</v>
      </c>
      <c r="D60" s="5" t="s">
        <v>12</v>
      </c>
      <c r="K60" s="3"/>
    </row>
    <row r="61">
      <c r="A61" s="4">
        <v>45929.0</v>
      </c>
      <c r="B61" s="5" t="s">
        <v>234</v>
      </c>
      <c r="C61" s="6">
        <v>79.8</v>
      </c>
      <c r="D61" s="5" t="s">
        <v>35</v>
      </c>
      <c r="K61" s="3"/>
    </row>
    <row r="62">
      <c r="A62" s="4">
        <v>45955.0</v>
      </c>
      <c r="B62" s="5" t="s">
        <v>235</v>
      </c>
      <c r="C62" s="6">
        <v>81.5</v>
      </c>
      <c r="D62" s="5" t="s">
        <v>149</v>
      </c>
      <c r="K62" s="3"/>
    </row>
    <row r="63">
      <c r="A63" s="4">
        <v>45929.0</v>
      </c>
      <c r="B63" s="5" t="s">
        <v>236</v>
      </c>
      <c r="C63" s="6">
        <v>58.0</v>
      </c>
      <c r="D63" s="5" t="s">
        <v>181</v>
      </c>
      <c r="K63" s="3"/>
    </row>
    <row r="64">
      <c r="A64" s="4">
        <v>45926.0</v>
      </c>
      <c r="B64" s="5" t="s">
        <v>237</v>
      </c>
      <c r="C64" s="6">
        <v>243.67</v>
      </c>
      <c r="D64" s="5" t="s">
        <v>12</v>
      </c>
      <c r="K64" s="3"/>
    </row>
    <row r="65">
      <c r="A65" s="4">
        <v>45945.0</v>
      </c>
      <c r="B65" s="5" t="s">
        <v>238</v>
      </c>
      <c r="C65" s="6">
        <v>4.25</v>
      </c>
      <c r="D65" s="5" t="s">
        <v>31</v>
      </c>
      <c r="K65" s="3"/>
    </row>
    <row r="66">
      <c r="A66" s="4">
        <v>45929.0</v>
      </c>
      <c r="B66" s="5" t="s">
        <v>239</v>
      </c>
      <c r="C66" s="6">
        <v>31.95</v>
      </c>
      <c r="D66" s="5" t="s">
        <v>31</v>
      </c>
      <c r="K66" s="3"/>
    </row>
    <row r="67">
      <c r="A67" s="4">
        <v>45951.0</v>
      </c>
      <c r="B67" s="5" t="s">
        <v>239</v>
      </c>
      <c r="C67" s="6">
        <v>14.09</v>
      </c>
      <c r="D67" s="5" t="s">
        <v>31</v>
      </c>
      <c r="K67" s="3"/>
    </row>
    <row r="68">
      <c r="A68" s="4">
        <v>45951.0</v>
      </c>
      <c r="B68" s="5" t="s">
        <v>239</v>
      </c>
      <c r="C68" s="6">
        <v>59.97</v>
      </c>
      <c r="D68" s="5" t="s">
        <v>31</v>
      </c>
      <c r="K68" s="3"/>
    </row>
    <row r="69">
      <c r="A69" s="4">
        <v>45937.0</v>
      </c>
      <c r="B69" s="5" t="s">
        <v>240</v>
      </c>
      <c r="C69" s="6">
        <v>20.0</v>
      </c>
      <c r="D69" s="5" t="s">
        <v>31</v>
      </c>
      <c r="K69" s="3"/>
    </row>
    <row r="70">
      <c r="A70" s="4">
        <v>45935.0</v>
      </c>
      <c r="B70" s="5" t="s">
        <v>241</v>
      </c>
      <c r="C70" s="6">
        <v>23.0</v>
      </c>
      <c r="D70" s="5" t="s">
        <v>13</v>
      </c>
      <c r="K70" s="3"/>
    </row>
    <row r="71">
      <c r="A71" s="4">
        <v>45936.0</v>
      </c>
      <c r="B71" s="5" t="s">
        <v>242</v>
      </c>
      <c r="C71" s="6">
        <v>22.78</v>
      </c>
      <c r="D71" s="5" t="s">
        <v>31</v>
      </c>
      <c r="K71" s="3"/>
    </row>
    <row r="72">
      <c r="A72" s="4">
        <v>45955.0</v>
      </c>
      <c r="B72" s="5" t="s">
        <v>242</v>
      </c>
      <c r="C72" s="6">
        <v>36.19</v>
      </c>
      <c r="D72" s="5" t="s">
        <v>31</v>
      </c>
      <c r="K72" s="3"/>
    </row>
    <row r="73">
      <c r="A73" s="4">
        <v>45932.0</v>
      </c>
      <c r="B73" s="5" t="s">
        <v>243</v>
      </c>
      <c r="C73" s="6">
        <v>32.72</v>
      </c>
      <c r="D73" s="5" t="s">
        <v>104</v>
      </c>
      <c r="K73" s="3"/>
    </row>
    <row r="74">
      <c r="A74" s="4">
        <v>45954.0</v>
      </c>
      <c r="B74" s="5" t="s">
        <v>244</v>
      </c>
      <c r="C74" s="6">
        <v>80.9</v>
      </c>
      <c r="D74" s="5" t="s">
        <v>245</v>
      </c>
      <c r="K74" s="3"/>
    </row>
    <row r="75">
      <c r="A75" s="4">
        <v>45926.0</v>
      </c>
      <c r="B75" s="5" t="s">
        <v>246</v>
      </c>
      <c r="C75" s="6">
        <v>302.66</v>
      </c>
      <c r="D75" s="5" t="s">
        <v>93</v>
      </c>
      <c r="K75" s="3"/>
    </row>
    <row r="76">
      <c r="A76" s="4">
        <v>45951.0</v>
      </c>
      <c r="B76" s="5" t="s">
        <v>247</v>
      </c>
      <c r="C76" s="6">
        <v>36.0</v>
      </c>
      <c r="D76" s="5" t="s">
        <v>13</v>
      </c>
      <c r="K76" s="3"/>
    </row>
    <row r="77">
      <c r="A77" s="4">
        <v>45929.0</v>
      </c>
      <c r="B77" s="5" t="s">
        <v>248</v>
      </c>
      <c r="C77" s="6">
        <v>100.0</v>
      </c>
      <c r="D77" s="5" t="s">
        <v>151</v>
      </c>
      <c r="K77" s="3"/>
    </row>
    <row r="78">
      <c r="A78" s="4">
        <v>45927.0</v>
      </c>
      <c r="B78" s="5" t="s">
        <v>120</v>
      </c>
      <c r="C78" s="6">
        <v>40.0</v>
      </c>
      <c r="D78" s="5" t="s">
        <v>49</v>
      </c>
      <c r="K78" s="3"/>
    </row>
    <row r="79">
      <c r="A79" s="4">
        <v>45942.0</v>
      </c>
      <c r="B79" s="5" t="s">
        <v>120</v>
      </c>
      <c r="C79" s="6">
        <v>40.0</v>
      </c>
      <c r="D79" s="5" t="s">
        <v>49</v>
      </c>
      <c r="K79" s="3"/>
    </row>
    <row r="80">
      <c r="A80" s="4">
        <v>45947.0</v>
      </c>
      <c r="B80" s="5" t="s">
        <v>249</v>
      </c>
      <c r="C80" s="6">
        <v>20.0</v>
      </c>
      <c r="D80" s="5" t="s">
        <v>31</v>
      </c>
      <c r="K80" s="3"/>
    </row>
    <row r="81">
      <c r="A81" s="4">
        <v>45931.0</v>
      </c>
      <c r="B81" s="5" t="s">
        <v>250</v>
      </c>
      <c r="C81" s="6">
        <v>35.0</v>
      </c>
      <c r="D81" s="5" t="s">
        <v>35</v>
      </c>
      <c r="K81" s="3"/>
    </row>
    <row r="82">
      <c r="A82" s="4">
        <v>45933.0</v>
      </c>
      <c r="B82" s="23" t="s">
        <v>98</v>
      </c>
      <c r="C82" s="6">
        <v>57.8</v>
      </c>
      <c r="D82" s="5" t="s">
        <v>67</v>
      </c>
      <c r="K82" s="3"/>
    </row>
    <row r="83">
      <c r="A83" s="4">
        <v>45935.0</v>
      </c>
      <c r="B83" s="5" t="s">
        <v>251</v>
      </c>
      <c r="C83" s="6">
        <v>20.99</v>
      </c>
      <c r="D83" s="5" t="s">
        <v>149</v>
      </c>
      <c r="K83" s="3"/>
    </row>
    <row r="84">
      <c r="A84" s="4">
        <v>45926.0</v>
      </c>
      <c r="B84" s="5" t="s">
        <v>252</v>
      </c>
      <c r="C84" s="6">
        <v>107.83</v>
      </c>
      <c r="D84" s="5" t="s">
        <v>13</v>
      </c>
      <c r="K84" s="3"/>
    </row>
    <row r="85">
      <c r="A85" s="4">
        <v>45944.0</v>
      </c>
      <c r="B85" s="5" t="s">
        <v>253</v>
      </c>
      <c r="C85" s="6">
        <v>15.98</v>
      </c>
      <c r="D85" s="5" t="s">
        <v>149</v>
      </c>
      <c r="K85" s="3"/>
    </row>
    <row r="86">
      <c r="A86" s="4">
        <v>45954.0</v>
      </c>
      <c r="B86" s="5" t="s">
        <v>254</v>
      </c>
      <c r="C86" s="6">
        <v>32.4</v>
      </c>
      <c r="D86" s="5" t="s">
        <v>149</v>
      </c>
      <c r="K86" s="3"/>
    </row>
    <row r="87">
      <c r="A87" s="4">
        <v>45926.0</v>
      </c>
      <c r="B87" s="5" t="s">
        <v>255</v>
      </c>
      <c r="C87" s="6">
        <v>128.7</v>
      </c>
      <c r="D87" s="5" t="s">
        <v>49</v>
      </c>
      <c r="K87" s="3"/>
    </row>
    <row r="88">
      <c r="A88" s="4">
        <v>45948.0</v>
      </c>
      <c r="B88" s="5" t="s">
        <v>256</v>
      </c>
      <c r="C88" s="6">
        <v>23.16</v>
      </c>
      <c r="D88" s="5" t="s">
        <v>149</v>
      </c>
      <c r="K88" s="3"/>
    </row>
    <row r="89">
      <c r="A89" s="4">
        <v>45926.0</v>
      </c>
      <c r="B89" s="5" t="s">
        <v>257</v>
      </c>
      <c r="C89" s="6">
        <v>104.85</v>
      </c>
      <c r="D89" s="5" t="s">
        <v>139</v>
      </c>
      <c r="K89" s="3"/>
    </row>
    <row r="90">
      <c r="A90" s="4">
        <v>45926.0</v>
      </c>
      <c r="B90" s="5" t="s">
        <v>258</v>
      </c>
      <c r="C90" s="6">
        <v>135.4</v>
      </c>
      <c r="D90" s="5" t="s">
        <v>139</v>
      </c>
      <c r="K90" s="3"/>
    </row>
    <row r="91">
      <c r="A91" s="4">
        <v>45926.0</v>
      </c>
      <c r="B91" s="5" t="s">
        <v>259</v>
      </c>
      <c r="C91" s="6">
        <v>140.79</v>
      </c>
      <c r="D91" s="5" t="s">
        <v>139</v>
      </c>
      <c r="K91" s="3"/>
    </row>
    <row r="92">
      <c r="A92" s="4">
        <v>45926.0</v>
      </c>
      <c r="B92" s="5" t="s">
        <v>260</v>
      </c>
      <c r="C92" s="6">
        <v>79.68</v>
      </c>
      <c r="D92" s="5" t="s">
        <v>139</v>
      </c>
      <c r="K92" s="3"/>
    </row>
    <row r="93">
      <c r="A93" s="4">
        <v>45926.0</v>
      </c>
      <c r="B93" s="5" t="s">
        <v>261</v>
      </c>
      <c r="C93" s="6">
        <v>127.97</v>
      </c>
      <c r="D93" s="5" t="s">
        <v>139</v>
      </c>
      <c r="K93" s="3"/>
    </row>
    <row r="94">
      <c r="A94" s="4">
        <v>45938.0</v>
      </c>
      <c r="B94" s="5" t="s">
        <v>262</v>
      </c>
      <c r="C94" s="6">
        <v>25.0</v>
      </c>
      <c r="D94" s="5" t="s">
        <v>110</v>
      </c>
      <c r="K94" s="3"/>
    </row>
    <row r="95">
      <c r="A95" s="4">
        <v>45926.0</v>
      </c>
      <c r="B95" s="5" t="s">
        <v>263</v>
      </c>
      <c r="C95" s="6">
        <v>49.99</v>
      </c>
      <c r="D95" s="5" t="s">
        <v>49</v>
      </c>
      <c r="K95" s="3"/>
    </row>
    <row r="96">
      <c r="A96" s="4">
        <v>45926.0</v>
      </c>
      <c r="B96" s="5" t="s">
        <v>264</v>
      </c>
      <c r="C96" s="6">
        <v>113.19</v>
      </c>
      <c r="D96" s="5" t="s">
        <v>13</v>
      </c>
      <c r="K96" s="3"/>
    </row>
    <row r="97">
      <c r="A97" s="4">
        <v>45943.0</v>
      </c>
      <c r="B97" s="5" t="s">
        <v>265</v>
      </c>
      <c r="C97" s="6">
        <v>84.0</v>
      </c>
      <c r="D97" s="5" t="s">
        <v>183</v>
      </c>
      <c r="K97" s="3"/>
    </row>
    <row r="98">
      <c r="A98" s="4">
        <v>45944.0</v>
      </c>
      <c r="B98" s="5" t="s">
        <v>266</v>
      </c>
      <c r="C98" s="6">
        <v>33.0</v>
      </c>
      <c r="D98" s="5" t="s">
        <v>183</v>
      </c>
      <c r="K98" s="3"/>
    </row>
    <row r="99">
      <c r="A99" s="4">
        <v>45929.0</v>
      </c>
      <c r="B99" s="5" t="s">
        <v>267</v>
      </c>
      <c r="C99" s="6">
        <v>100.0</v>
      </c>
      <c r="D99" s="5" t="s">
        <v>151</v>
      </c>
      <c r="K99" s="3"/>
    </row>
    <row r="100">
      <c r="A100" s="4">
        <v>45939.0</v>
      </c>
      <c r="B100" s="5" t="s">
        <v>268</v>
      </c>
      <c r="C100" s="6">
        <v>277.46</v>
      </c>
      <c r="D100" s="5" t="s">
        <v>16</v>
      </c>
      <c r="K100" s="3"/>
    </row>
    <row r="101">
      <c r="A101" s="4">
        <v>45953.0</v>
      </c>
      <c r="B101" s="5" t="s">
        <v>269</v>
      </c>
      <c r="C101" s="6">
        <v>100.0</v>
      </c>
      <c r="D101" s="5" t="s">
        <v>16</v>
      </c>
      <c r="K101" s="3"/>
    </row>
    <row r="102">
      <c r="A102" s="4">
        <v>45927.0</v>
      </c>
      <c r="B102" s="5" t="s">
        <v>94</v>
      </c>
      <c r="C102" s="6">
        <v>240.01</v>
      </c>
      <c r="D102" s="5" t="s">
        <v>16</v>
      </c>
      <c r="K102" s="3"/>
    </row>
    <row r="103">
      <c r="A103" s="4">
        <v>45928.0</v>
      </c>
      <c r="B103" s="5" t="s">
        <v>270</v>
      </c>
      <c r="C103" s="6">
        <v>70.0</v>
      </c>
      <c r="D103" s="5" t="s">
        <v>13</v>
      </c>
      <c r="K103" s="3"/>
    </row>
    <row r="104">
      <c r="A104" s="4">
        <v>45937.0</v>
      </c>
      <c r="B104" s="5" t="s">
        <v>271</v>
      </c>
      <c r="C104" s="6">
        <v>50.0</v>
      </c>
      <c r="D104" s="5" t="s">
        <v>13</v>
      </c>
      <c r="K104" s="3"/>
    </row>
    <row r="105">
      <c r="A105" s="4">
        <v>45948.0</v>
      </c>
      <c r="B105" s="5" t="s">
        <v>271</v>
      </c>
      <c r="C105" s="6">
        <v>191.0</v>
      </c>
      <c r="D105" s="5" t="s">
        <v>13</v>
      </c>
      <c r="K105" s="3"/>
    </row>
    <row r="106">
      <c r="A106" s="4">
        <v>45928.0</v>
      </c>
      <c r="B106" s="5" t="s">
        <v>272</v>
      </c>
      <c r="C106" s="6">
        <v>9.0</v>
      </c>
      <c r="D106" s="5" t="s">
        <v>67</v>
      </c>
      <c r="K106" s="3"/>
    </row>
    <row r="107">
      <c r="A107" s="4">
        <v>45926.0</v>
      </c>
      <c r="B107" s="5" t="s">
        <v>273</v>
      </c>
      <c r="C107" s="6">
        <v>181.34</v>
      </c>
      <c r="D107" s="5" t="s">
        <v>16</v>
      </c>
      <c r="K107" s="3"/>
    </row>
    <row r="108">
      <c r="A108" s="4">
        <v>45926.0</v>
      </c>
      <c r="B108" s="5" t="s">
        <v>274</v>
      </c>
      <c r="C108" s="6">
        <v>46.63</v>
      </c>
      <c r="D108" s="5" t="s">
        <v>104</v>
      </c>
      <c r="K108" s="3"/>
    </row>
    <row r="109">
      <c r="A109" s="4">
        <v>45946.0</v>
      </c>
      <c r="B109" s="5" t="s">
        <v>275</v>
      </c>
      <c r="C109" s="6">
        <v>6.52</v>
      </c>
      <c r="D109" s="5" t="s">
        <v>132</v>
      </c>
      <c r="K109" s="3"/>
    </row>
    <row r="110">
      <c r="A110" s="4">
        <v>45931.0</v>
      </c>
      <c r="B110" s="5" t="s">
        <v>276</v>
      </c>
      <c r="C110" s="6">
        <v>36.59</v>
      </c>
      <c r="D110" s="5" t="s">
        <v>132</v>
      </c>
      <c r="K110" s="3"/>
    </row>
    <row r="111">
      <c r="A111" s="4">
        <v>45933.0</v>
      </c>
      <c r="B111" s="5" t="s">
        <v>277</v>
      </c>
      <c r="C111" s="6">
        <v>107.79</v>
      </c>
      <c r="D111" s="5" t="s">
        <v>278</v>
      </c>
      <c r="K111" s="3"/>
    </row>
    <row r="112">
      <c r="A112" s="4">
        <v>45928.0</v>
      </c>
      <c r="B112" s="5" t="s">
        <v>279</v>
      </c>
      <c r="C112" s="6">
        <v>55.47</v>
      </c>
      <c r="D112" s="5" t="s">
        <v>31</v>
      </c>
      <c r="K112" s="3"/>
    </row>
    <row r="113">
      <c r="A113" s="4">
        <v>45939.0</v>
      </c>
      <c r="B113" s="5" t="s">
        <v>279</v>
      </c>
      <c r="C113" s="6">
        <v>32.17</v>
      </c>
      <c r="D113" s="5" t="s">
        <v>31</v>
      </c>
      <c r="K113" s="3"/>
    </row>
    <row r="114">
      <c r="A114" s="4">
        <v>45948.0</v>
      </c>
      <c r="B114" s="5" t="s">
        <v>280</v>
      </c>
      <c r="C114" s="6">
        <v>32.07</v>
      </c>
      <c r="D114" s="5" t="s">
        <v>281</v>
      </c>
      <c r="K114" s="3"/>
    </row>
    <row r="115">
      <c r="A115" s="4">
        <v>45945.0</v>
      </c>
      <c r="B115" s="5" t="s">
        <v>282</v>
      </c>
      <c r="C115" s="6">
        <v>6.48</v>
      </c>
      <c r="D115" s="5" t="s">
        <v>104</v>
      </c>
      <c r="K115" s="3"/>
    </row>
    <row r="116">
      <c r="A116" s="4">
        <v>45927.0</v>
      </c>
      <c r="B116" s="5" t="s">
        <v>283</v>
      </c>
      <c r="C116" s="6">
        <v>34.15</v>
      </c>
      <c r="D116" s="5" t="s">
        <v>132</v>
      </c>
      <c r="K116" s="3"/>
    </row>
    <row r="117">
      <c r="A117" s="4">
        <v>45932.0</v>
      </c>
      <c r="B117" s="5" t="s">
        <v>97</v>
      </c>
      <c r="C117" s="6">
        <v>39.8</v>
      </c>
      <c r="D117" s="5" t="s">
        <v>31</v>
      </c>
      <c r="K117" s="3"/>
    </row>
    <row r="118">
      <c r="A118" s="4">
        <v>45934.0</v>
      </c>
      <c r="B118" s="5" t="s">
        <v>284</v>
      </c>
      <c r="C118" s="6">
        <v>349.8</v>
      </c>
      <c r="D118" s="5" t="s">
        <v>13</v>
      </c>
      <c r="K118" s="3"/>
    </row>
    <row r="119">
      <c r="A119" s="4">
        <v>45928.0</v>
      </c>
      <c r="B119" s="5" t="s">
        <v>285</v>
      </c>
      <c r="C119" s="6">
        <v>23.9</v>
      </c>
      <c r="D119" s="5" t="s">
        <v>31</v>
      </c>
      <c r="K119" s="3"/>
    </row>
    <row r="120">
      <c r="A120" s="4">
        <v>45926.0</v>
      </c>
      <c r="B120" s="5" t="s">
        <v>286</v>
      </c>
      <c r="C120" s="6">
        <v>120.0</v>
      </c>
      <c r="D120" s="5" t="s">
        <v>16</v>
      </c>
      <c r="K120" s="3"/>
    </row>
    <row r="121">
      <c r="A121" s="4">
        <v>45933.0</v>
      </c>
      <c r="B121" s="5" t="s">
        <v>287</v>
      </c>
      <c r="C121" s="6">
        <v>70.51</v>
      </c>
      <c r="D121" s="5" t="s">
        <v>288</v>
      </c>
      <c r="K121" s="3"/>
    </row>
    <row r="122">
      <c r="A122" s="4">
        <v>45933.0</v>
      </c>
      <c r="B122" s="5" t="s">
        <v>287</v>
      </c>
      <c r="C122" s="6">
        <v>70.58</v>
      </c>
      <c r="D122" s="5" t="s">
        <v>288</v>
      </c>
      <c r="K122" s="3"/>
    </row>
    <row r="123">
      <c r="A123" s="4">
        <v>45927.0</v>
      </c>
      <c r="B123" s="5" t="s">
        <v>289</v>
      </c>
      <c r="C123" s="6">
        <v>29.0</v>
      </c>
      <c r="D123" s="5" t="s">
        <v>31</v>
      </c>
      <c r="K123" s="3"/>
    </row>
    <row r="124">
      <c r="A124" s="4">
        <v>45937.0</v>
      </c>
      <c r="B124" s="5" t="s">
        <v>289</v>
      </c>
      <c r="C124" s="6">
        <v>18.35</v>
      </c>
      <c r="D124" s="5" t="s">
        <v>31</v>
      </c>
      <c r="K124" s="3"/>
    </row>
    <row r="125">
      <c r="A125" s="4">
        <v>45949.0</v>
      </c>
      <c r="B125" s="5" t="s">
        <v>289</v>
      </c>
      <c r="C125" s="6">
        <v>55.7</v>
      </c>
      <c r="D125" s="5" t="s">
        <v>149</v>
      </c>
      <c r="K125" s="3"/>
    </row>
    <row r="126">
      <c r="A126" s="4">
        <v>45952.0</v>
      </c>
      <c r="B126" s="5" t="s">
        <v>289</v>
      </c>
      <c r="C126" s="6">
        <v>29.0</v>
      </c>
      <c r="D126" s="5" t="s">
        <v>149</v>
      </c>
      <c r="K126" s="3"/>
    </row>
    <row r="127">
      <c r="A127" s="4">
        <v>45944.0</v>
      </c>
      <c r="B127" s="5" t="s">
        <v>290</v>
      </c>
      <c r="C127" s="6">
        <v>27.93</v>
      </c>
      <c r="D127" s="5" t="s">
        <v>291</v>
      </c>
      <c r="K127" s="3"/>
    </row>
    <row r="128">
      <c r="A128" s="4">
        <v>45926.0</v>
      </c>
      <c r="B128" s="5" t="s">
        <v>292</v>
      </c>
      <c r="C128" s="6">
        <v>274.09</v>
      </c>
      <c r="D128" s="5" t="s">
        <v>35</v>
      </c>
      <c r="K128" s="3"/>
    </row>
    <row r="129">
      <c r="A129" s="4">
        <v>45926.0</v>
      </c>
      <c r="B129" s="5" t="s">
        <v>293</v>
      </c>
      <c r="C129" s="6">
        <v>179.9</v>
      </c>
      <c r="D129" s="5" t="s">
        <v>35</v>
      </c>
      <c r="K129" s="3"/>
    </row>
    <row r="130">
      <c r="A130" s="4">
        <v>45941.0</v>
      </c>
      <c r="B130" s="5" t="s">
        <v>119</v>
      </c>
      <c r="C130" s="6">
        <v>60.0</v>
      </c>
      <c r="D130" s="5" t="s">
        <v>67</v>
      </c>
      <c r="K130" s="3"/>
    </row>
    <row r="131">
      <c r="A131" s="4">
        <v>45941.0</v>
      </c>
      <c r="B131" s="5" t="s">
        <v>119</v>
      </c>
      <c r="C131" s="6">
        <v>89.9</v>
      </c>
      <c r="D131" s="5" t="s">
        <v>13</v>
      </c>
      <c r="K131" s="3"/>
    </row>
    <row r="132">
      <c r="A132" s="4">
        <v>45928.0</v>
      </c>
      <c r="B132" s="5" t="s">
        <v>294</v>
      </c>
      <c r="C132" s="6">
        <v>44.95</v>
      </c>
      <c r="D132" s="5" t="s">
        <v>35</v>
      </c>
      <c r="K132" s="3"/>
    </row>
    <row r="133">
      <c r="A133" s="4">
        <v>45936.0</v>
      </c>
      <c r="B133" s="5" t="s">
        <v>295</v>
      </c>
      <c r="C133" s="6">
        <v>47.75</v>
      </c>
      <c r="D133" s="5" t="s">
        <v>35</v>
      </c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A826" s="27"/>
      <c r="C826" s="22"/>
      <c r="K826" s="3"/>
    </row>
    <row r="827">
      <c r="A827" s="27"/>
      <c r="C827" s="22"/>
      <c r="K827" s="3"/>
    </row>
    <row r="828">
      <c r="A828" s="27"/>
      <c r="C828" s="22"/>
      <c r="K828" s="3"/>
    </row>
    <row r="829">
      <c r="A829" s="27"/>
      <c r="C829" s="22"/>
      <c r="K829" s="3"/>
    </row>
    <row r="830">
      <c r="A830" s="27"/>
      <c r="C830" s="22"/>
      <c r="K830" s="3"/>
    </row>
    <row r="831">
      <c r="A831" s="27"/>
      <c r="C831" s="22"/>
      <c r="K831" s="3"/>
    </row>
    <row r="832">
      <c r="A832" s="27"/>
      <c r="C832" s="22"/>
      <c r="K832" s="3"/>
    </row>
    <row r="833">
      <c r="A833" s="27"/>
      <c r="C833" s="22"/>
      <c r="K833" s="3"/>
    </row>
    <row r="834">
      <c r="A834" s="27"/>
      <c r="C834" s="22"/>
      <c r="K834" s="3"/>
    </row>
    <row r="835">
      <c r="A835" s="27"/>
      <c r="C835" s="22"/>
      <c r="K835" s="3"/>
    </row>
    <row r="836">
      <c r="A836" s="27"/>
      <c r="C836" s="22"/>
      <c r="K836" s="3"/>
    </row>
    <row r="837">
      <c r="A837" s="27"/>
      <c r="C837" s="22"/>
      <c r="K837" s="3"/>
    </row>
    <row r="838">
      <c r="A838" s="27"/>
      <c r="C838" s="22"/>
      <c r="K838" s="3"/>
    </row>
    <row r="839">
      <c r="A839" s="27"/>
      <c r="C839" s="22"/>
      <c r="K839" s="3"/>
    </row>
    <row r="840">
      <c r="A840" s="27"/>
      <c r="C840" s="22"/>
      <c r="K840" s="3"/>
    </row>
    <row r="841">
      <c r="A841" s="27"/>
      <c r="C841" s="22"/>
      <c r="K841" s="3"/>
    </row>
    <row r="842">
      <c r="A842" s="27"/>
      <c r="C842" s="22"/>
      <c r="K842" s="3"/>
    </row>
    <row r="843">
      <c r="A843" s="27"/>
      <c r="C843" s="22"/>
      <c r="K843" s="3"/>
    </row>
    <row r="844">
      <c r="A844" s="27"/>
      <c r="C844" s="22"/>
      <c r="K844" s="3"/>
    </row>
    <row r="845">
      <c r="A845" s="27"/>
      <c r="C845" s="22"/>
      <c r="K845" s="3"/>
    </row>
    <row r="846">
      <c r="A846" s="27"/>
      <c r="C846" s="22"/>
      <c r="K846" s="3"/>
    </row>
    <row r="847">
      <c r="A847" s="27"/>
      <c r="C847" s="22"/>
      <c r="K847" s="3"/>
    </row>
    <row r="848">
      <c r="A848" s="27"/>
      <c r="C848" s="22"/>
      <c r="K848" s="3"/>
    </row>
    <row r="849">
      <c r="A849" s="27"/>
      <c r="C849" s="22"/>
      <c r="K849" s="3"/>
    </row>
    <row r="850">
      <c r="A850" s="27"/>
      <c r="C850" s="22"/>
      <c r="K850" s="3"/>
    </row>
    <row r="851">
      <c r="A851" s="27"/>
      <c r="C851" s="22"/>
      <c r="K851" s="3"/>
    </row>
    <row r="852">
      <c r="A852" s="27"/>
      <c r="C852" s="22"/>
      <c r="K852" s="3"/>
    </row>
    <row r="853">
      <c r="A853" s="27"/>
      <c r="C853" s="22"/>
      <c r="K853" s="3"/>
    </row>
    <row r="854">
      <c r="A854" s="27"/>
      <c r="C854" s="22"/>
      <c r="K854" s="3"/>
    </row>
    <row r="855">
      <c r="A855" s="27"/>
      <c r="C855" s="22"/>
      <c r="K855" s="3"/>
    </row>
    <row r="856">
      <c r="A856" s="27"/>
      <c r="C856" s="22"/>
      <c r="K856" s="3"/>
    </row>
    <row r="857">
      <c r="A857" s="27"/>
      <c r="C857" s="22"/>
      <c r="K857" s="3"/>
    </row>
    <row r="858">
      <c r="A858" s="27"/>
      <c r="C858" s="22"/>
      <c r="K858" s="3"/>
    </row>
    <row r="859">
      <c r="A859" s="27"/>
      <c r="C859" s="22"/>
      <c r="K859" s="3"/>
    </row>
    <row r="860">
      <c r="A860" s="27"/>
      <c r="C860" s="22"/>
      <c r="K860" s="3"/>
    </row>
    <row r="861">
      <c r="A861" s="27"/>
      <c r="C861" s="22"/>
      <c r="K861" s="3"/>
    </row>
    <row r="862">
      <c r="A862" s="27"/>
      <c r="C862" s="22"/>
      <c r="K862" s="3"/>
    </row>
    <row r="863">
      <c r="A863" s="27"/>
      <c r="C863" s="22"/>
      <c r="K863" s="3"/>
    </row>
    <row r="864">
      <c r="A864" s="27"/>
      <c r="C864" s="22"/>
      <c r="K864" s="3"/>
    </row>
    <row r="865">
      <c r="A865" s="27"/>
      <c r="C865" s="22"/>
      <c r="K865" s="3"/>
    </row>
    <row r="866">
      <c r="A866" s="27"/>
      <c r="C866" s="22"/>
      <c r="K866" s="3"/>
    </row>
    <row r="867">
      <c r="A867" s="27"/>
      <c r="C867" s="22"/>
      <c r="K867" s="3"/>
    </row>
    <row r="868">
      <c r="A868" s="27"/>
      <c r="C868" s="22"/>
      <c r="K868" s="3"/>
    </row>
    <row r="869">
      <c r="A869" s="27"/>
      <c r="C869" s="22"/>
      <c r="K869" s="3"/>
    </row>
    <row r="870">
      <c r="A870" s="27"/>
      <c r="C870" s="22"/>
      <c r="K870" s="3"/>
    </row>
    <row r="871">
      <c r="A871" s="27"/>
      <c r="C871" s="22"/>
      <c r="K871" s="3"/>
    </row>
    <row r="872">
      <c r="A872" s="27"/>
      <c r="C872" s="22"/>
      <c r="K872" s="3"/>
    </row>
    <row r="873">
      <c r="A873" s="27"/>
      <c r="C873" s="22"/>
      <c r="K873" s="3"/>
    </row>
    <row r="874">
      <c r="A874" s="27"/>
      <c r="C874" s="22"/>
      <c r="K874" s="3"/>
    </row>
    <row r="875">
      <c r="A875" s="27"/>
      <c r="C875" s="22"/>
      <c r="K875" s="3"/>
    </row>
    <row r="876">
      <c r="A876" s="27"/>
      <c r="C876" s="22"/>
      <c r="K876" s="3"/>
    </row>
    <row r="877">
      <c r="A877" s="27"/>
      <c r="C877" s="22"/>
      <c r="K877" s="3"/>
    </row>
    <row r="878">
      <c r="A878" s="27"/>
      <c r="C878" s="22"/>
      <c r="K878" s="3"/>
    </row>
    <row r="879">
      <c r="A879" s="27"/>
      <c r="C879" s="22"/>
      <c r="K879" s="3"/>
    </row>
    <row r="880">
      <c r="A880" s="27"/>
      <c r="C880" s="22"/>
      <c r="K880" s="3"/>
    </row>
    <row r="881">
      <c r="A881" s="27"/>
      <c r="C881" s="22"/>
      <c r="K881" s="3"/>
    </row>
    <row r="882">
      <c r="A882" s="27"/>
      <c r="C882" s="22"/>
      <c r="K882" s="3"/>
    </row>
    <row r="883">
      <c r="A883" s="27"/>
      <c r="C883" s="22"/>
      <c r="K883" s="3"/>
    </row>
    <row r="884">
      <c r="A884" s="27"/>
      <c r="C884" s="22"/>
      <c r="K884" s="3"/>
    </row>
    <row r="885">
      <c r="A885" s="27"/>
      <c r="C885" s="22"/>
      <c r="K885" s="3"/>
    </row>
    <row r="886">
      <c r="A886" s="27"/>
      <c r="C886" s="22"/>
      <c r="K886" s="3"/>
    </row>
    <row r="887">
      <c r="A887" s="27"/>
      <c r="C887" s="22"/>
      <c r="K887" s="3"/>
    </row>
    <row r="888">
      <c r="A888" s="27"/>
      <c r="C888" s="22"/>
      <c r="K888" s="3"/>
    </row>
    <row r="889">
      <c r="A889" s="27"/>
      <c r="C889" s="22"/>
      <c r="K889" s="3"/>
    </row>
    <row r="890">
      <c r="A890" s="27"/>
      <c r="C890" s="22"/>
      <c r="K890" s="3"/>
    </row>
    <row r="891">
      <c r="A891" s="27"/>
      <c r="C891" s="22"/>
      <c r="K891" s="3"/>
    </row>
    <row r="892">
      <c r="A892" s="27"/>
      <c r="C892" s="22"/>
      <c r="K892" s="3"/>
    </row>
    <row r="893">
      <c r="A893" s="27"/>
      <c r="C893" s="22"/>
      <c r="K893" s="3"/>
    </row>
    <row r="894">
      <c r="A894" s="27"/>
      <c r="C894" s="22"/>
      <c r="K894" s="3"/>
    </row>
    <row r="895">
      <c r="A895" s="27"/>
      <c r="C895" s="22"/>
      <c r="K895" s="3"/>
    </row>
    <row r="896">
      <c r="A896" s="27"/>
      <c r="C896" s="22"/>
      <c r="K896" s="3"/>
    </row>
    <row r="897">
      <c r="A897" s="27"/>
      <c r="C897" s="22"/>
      <c r="K897" s="3"/>
    </row>
    <row r="898">
      <c r="A898" s="27"/>
      <c r="C898" s="22"/>
      <c r="K898" s="3"/>
    </row>
    <row r="899">
      <c r="A899" s="27"/>
      <c r="C899" s="22"/>
      <c r="K899" s="3"/>
    </row>
    <row r="900">
      <c r="A900" s="27"/>
      <c r="C900" s="22"/>
      <c r="K900" s="3"/>
    </row>
    <row r="901">
      <c r="A901" s="27"/>
      <c r="C901" s="22"/>
      <c r="K901" s="3"/>
    </row>
    <row r="902">
      <c r="A902" s="27"/>
      <c r="C902" s="22"/>
      <c r="K902" s="3"/>
    </row>
    <row r="903">
      <c r="A903" s="27"/>
      <c r="C903" s="22"/>
      <c r="K903" s="3"/>
    </row>
    <row r="904">
      <c r="A904" s="27"/>
      <c r="C904" s="22"/>
      <c r="K904" s="3"/>
    </row>
    <row r="905">
      <c r="A905" s="27"/>
      <c r="C905" s="22"/>
      <c r="K905" s="3"/>
    </row>
    <row r="906">
      <c r="A906" s="27"/>
      <c r="C906" s="22"/>
      <c r="K906" s="3"/>
    </row>
    <row r="907">
      <c r="A907" s="27"/>
      <c r="C907" s="22"/>
      <c r="K907" s="3"/>
    </row>
    <row r="908">
      <c r="A908" s="27"/>
      <c r="C908" s="22"/>
      <c r="K908" s="3"/>
    </row>
    <row r="909">
      <c r="A909" s="27"/>
      <c r="C909" s="22"/>
      <c r="K909" s="3"/>
    </row>
    <row r="910">
      <c r="A910" s="27"/>
      <c r="C910" s="22"/>
      <c r="K910" s="3"/>
    </row>
    <row r="911">
      <c r="A911" s="27"/>
      <c r="C911" s="22"/>
      <c r="K911" s="3"/>
    </row>
    <row r="912">
      <c r="A912" s="27"/>
      <c r="C912" s="22"/>
      <c r="K912" s="3"/>
    </row>
    <row r="913">
      <c r="A913" s="27"/>
      <c r="C913" s="22"/>
      <c r="K913" s="3"/>
    </row>
    <row r="914">
      <c r="A914" s="27"/>
      <c r="C914" s="22"/>
      <c r="K914" s="3"/>
    </row>
    <row r="915">
      <c r="A915" s="27"/>
      <c r="C915" s="22"/>
      <c r="K915" s="3"/>
    </row>
    <row r="916">
      <c r="A916" s="27"/>
      <c r="C916" s="22"/>
      <c r="K916" s="3"/>
    </row>
    <row r="917">
      <c r="A917" s="27"/>
      <c r="C917" s="22"/>
      <c r="K917" s="3"/>
    </row>
    <row r="918">
      <c r="A918" s="27"/>
      <c r="C918" s="22"/>
      <c r="K918" s="3"/>
    </row>
    <row r="919">
      <c r="A919" s="27"/>
      <c r="C919" s="22"/>
      <c r="K919" s="3"/>
    </row>
    <row r="920">
      <c r="A920" s="27"/>
      <c r="C920" s="22"/>
      <c r="K920" s="3"/>
    </row>
    <row r="921">
      <c r="A921" s="27"/>
      <c r="C921" s="22"/>
      <c r="K921" s="3"/>
    </row>
    <row r="922">
      <c r="A922" s="27"/>
      <c r="C922" s="22"/>
      <c r="K922" s="3"/>
    </row>
    <row r="923">
      <c r="A923" s="27"/>
      <c r="C923" s="22"/>
      <c r="K923" s="3"/>
    </row>
    <row r="924">
      <c r="A924" s="27"/>
      <c r="C924" s="22"/>
      <c r="K924" s="3"/>
    </row>
    <row r="925">
      <c r="A925" s="27"/>
      <c r="C925" s="22"/>
      <c r="K925" s="3"/>
    </row>
    <row r="926">
      <c r="A926" s="27"/>
      <c r="C926" s="22"/>
      <c r="K926" s="3"/>
    </row>
    <row r="927">
      <c r="A927" s="27"/>
      <c r="C927" s="22"/>
      <c r="K927" s="3"/>
    </row>
    <row r="928">
      <c r="A928" s="27"/>
      <c r="C928" s="22"/>
      <c r="K928" s="3"/>
    </row>
    <row r="929">
      <c r="A929" s="27"/>
      <c r="C929" s="22"/>
      <c r="K929" s="3"/>
    </row>
    <row r="930">
      <c r="A930" s="27"/>
      <c r="C930" s="22"/>
      <c r="K930" s="3"/>
    </row>
    <row r="931">
      <c r="A931" s="27"/>
      <c r="C931" s="22"/>
      <c r="K931" s="3"/>
    </row>
    <row r="932">
      <c r="A932" s="27"/>
      <c r="C932" s="22"/>
      <c r="K932" s="3"/>
    </row>
    <row r="933">
      <c r="A933" s="27"/>
      <c r="C933" s="22"/>
      <c r="K933" s="3"/>
    </row>
    <row r="934">
      <c r="A934" s="27"/>
      <c r="C934" s="22"/>
      <c r="K934" s="3"/>
    </row>
    <row r="935">
      <c r="A935" s="27"/>
      <c r="C935" s="22"/>
      <c r="K935" s="3"/>
    </row>
    <row r="936">
      <c r="A936" s="27"/>
      <c r="C936" s="22"/>
      <c r="K936" s="3"/>
    </row>
    <row r="937">
      <c r="A937" s="27"/>
      <c r="C937" s="22"/>
      <c r="K937" s="3"/>
    </row>
    <row r="938">
      <c r="A938" s="27"/>
      <c r="C938" s="22"/>
      <c r="K938" s="3"/>
    </row>
    <row r="939">
      <c r="A939" s="27"/>
      <c r="C939" s="22"/>
      <c r="K939" s="3"/>
    </row>
    <row r="940">
      <c r="A940" s="27"/>
      <c r="C940" s="22"/>
      <c r="K940" s="3"/>
    </row>
    <row r="941">
      <c r="A941" s="27"/>
      <c r="C941" s="22"/>
      <c r="K941" s="3"/>
    </row>
    <row r="942">
      <c r="A942" s="27"/>
      <c r="C942" s="22"/>
      <c r="K942" s="3"/>
    </row>
    <row r="943">
      <c r="A943" s="27"/>
      <c r="C943" s="22"/>
      <c r="K943" s="3"/>
    </row>
    <row r="944">
      <c r="A944" s="27"/>
      <c r="C944" s="22"/>
      <c r="K944" s="3"/>
    </row>
    <row r="945">
      <c r="A945" s="27"/>
      <c r="C945" s="22"/>
      <c r="K945" s="3"/>
    </row>
    <row r="946">
      <c r="A946" s="27"/>
      <c r="C946" s="22"/>
      <c r="K946" s="3"/>
    </row>
    <row r="947">
      <c r="A947" s="27"/>
      <c r="C947" s="22"/>
      <c r="K947" s="3"/>
    </row>
    <row r="948">
      <c r="A948" s="27"/>
      <c r="C948" s="22"/>
      <c r="K948" s="3"/>
    </row>
    <row r="949">
      <c r="A949" s="27"/>
      <c r="C949" s="22"/>
      <c r="K949" s="3"/>
    </row>
    <row r="950">
      <c r="A950" s="27"/>
      <c r="C950" s="22"/>
      <c r="K950" s="3"/>
    </row>
    <row r="951">
      <c r="A951" s="27"/>
      <c r="C951" s="22"/>
      <c r="K951" s="3"/>
    </row>
    <row r="952">
      <c r="A952" s="27"/>
      <c r="C952" s="22"/>
      <c r="K952" s="3"/>
    </row>
    <row r="953">
      <c r="A953" s="27"/>
      <c r="C953" s="22"/>
      <c r="K953" s="3"/>
    </row>
    <row r="954">
      <c r="A954" s="27"/>
      <c r="C954" s="22"/>
      <c r="K954" s="3"/>
    </row>
    <row r="955">
      <c r="A955" s="27"/>
      <c r="C955" s="22"/>
      <c r="K955" s="3"/>
    </row>
    <row r="956">
      <c r="A956" s="27"/>
      <c r="C956" s="22"/>
      <c r="K956" s="3"/>
    </row>
    <row r="957">
      <c r="K957" s="3"/>
    </row>
  </sheetData>
  <autoFilter ref="$A$1:$D$133">
    <sortState ref="A1:D133">
      <sortCondition ref="B1:B133"/>
      <sortCondition ref="A1:A133"/>
      <sortCondition ref="C1:C133"/>
      <sortCondition ref="D1:D133"/>
    </sortState>
  </autoFilter>
  <mergeCells count="3">
    <mergeCell ref="J26:M26"/>
    <mergeCell ref="J30:M30"/>
    <mergeCell ref="J34:M34"/>
  </mergeCells>
  <hyperlinks>
    <hyperlink r:id="rId2" ref="B8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25.88"/>
    <col customWidth="1" min="6" max="6" width="2.0"/>
    <col customWidth="1" min="7" max="7" width="19.25"/>
    <col customWidth="1" min="8" max="8" width="26.13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37"/>
      <c r="G2" s="42" t="s">
        <v>296</v>
      </c>
      <c r="H2" s="43" t="s">
        <v>297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4">
        <v>45936.0</v>
      </c>
      <c r="C3" s="45" t="s">
        <v>157</v>
      </c>
      <c r="D3" s="46">
        <v>64.0</v>
      </c>
      <c r="E3" s="45" t="s">
        <v>13</v>
      </c>
      <c r="F3" s="37"/>
      <c r="G3" s="47" t="s">
        <v>298</v>
      </c>
      <c r="H3" s="48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4">
        <v>45928.0</v>
      </c>
      <c r="C4" s="45" t="s">
        <v>177</v>
      </c>
      <c r="D4" s="46">
        <v>60.0</v>
      </c>
      <c r="E4" s="45" t="s">
        <v>13</v>
      </c>
      <c r="F4" s="37"/>
      <c r="G4" s="47" t="s">
        <v>299</v>
      </c>
      <c r="H4" s="48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4">
        <v>45929.0</v>
      </c>
      <c r="C5" s="45" t="s">
        <v>208</v>
      </c>
      <c r="D5" s="46">
        <v>6.0</v>
      </c>
      <c r="E5" s="45" t="s">
        <v>13</v>
      </c>
      <c r="F5" s="37"/>
      <c r="G5" s="47" t="s">
        <v>300</v>
      </c>
      <c r="H5" s="48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4">
        <v>45933.0</v>
      </c>
      <c r="C6" s="45" t="s">
        <v>208</v>
      </c>
      <c r="D6" s="46">
        <v>17.0</v>
      </c>
      <c r="E6" s="45" t="s">
        <v>13</v>
      </c>
      <c r="F6" s="37"/>
      <c r="G6" s="47" t="s">
        <v>301</v>
      </c>
      <c r="H6" s="48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4">
        <v>45929.0</v>
      </c>
      <c r="C7" s="45" t="s">
        <v>208</v>
      </c>
      <c r="D7" s="46">
        <v>115.0</v>
      </c>
      <c r="E7" s="45" t="s">
        <v>13</v>
      </c>
      <c r="F7" s="37"/>
      <c r="G7" s="47" t="s">
        <v>300</v>
      </c>
      <c r="H7" s="48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4">
        <v>45933.0</v>
      </c>
      <c r="C8" s="45" t="s">
        <v>213</v>
      </c>
      <c r="D8" s="46">
        <v>34.0</v>
      </c>
      <c r="E8" s="45" t="s">
        <v>13</v>
      </c>
      <c r="F8" s="37"/>
      <c r="G8" s="47" t="s">
        <v>301</v>
      </c>
      <c r="H8" s="48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4">
        <v>45928.0</v>
      </c>
      <c r="C9" s="45" t="s">
        <v>223</v>
      </c>
      <c r="D9" s="46">
        <v>25.0</v>
      </c>
      <c r="E9" s="45" t="s">
        <v>13</v>
      </c>
      <c r="F9" s="37"/>
      <c r="G9" s="49"/>
      <c r="H9" s="48" t="s">
        <v>302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4">
        <v>45934.0</v>
      </c>
      <c r="C10" s="45" t="s">
        <v>226</v>
      </c>
      <c r="D10" s="46">
        <v>92.99</v>
      </c>
      <c r="E10" s="45" t="s">
        <v>13</v>
      </c>
      <c r="F10" s="37"/>
      <c r="G10" s="47" t="s">
        <v>303</v>
      </c>
      <c r="H10" s="48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4">
        <v>45928.0</v>
      </c>
      <c r="C11" s="45" t="s">
        <v>226</v>
      </c>
      <c r="D11" s="46">
        <v>93.7</v>
      </c>
      <c r="E11" s="45" t="s">
        <v>13</v>
      </c>
      <c r="F11" s="37"/>
      <c r="G11" s="47" t="s">
        <v>304</v>
      </c>
      <c r="H11" s="48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4">
        <v>45935.0</v>
      </c>
      <c r="C12" s="45" t="s">
        <v>241</v>
      </c>
      <c r="D12" s="46">
        <v>23.0</v>
      </c>
      <c r="E12" s="45" t="s">
        <v>13</v>
      </c>
      <c r="F12" s="37"/>
      <c r="G12" s="49"/>
      <c r="H12" s="48" t="s">
        <v>305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4">
        <v>45951.0</v>
      </c>
      <c r="C13" s="45" t="s">
        <v>247</v>
      </c>
      <c r="D13" s="46">
        <v>36.0</v>
      </c>
      <c r="E13" s="45" t="s">
        <v>13</v>
      </c>
      <c r="F13" s="37"/>
      <c r="G13" s="47" t="s">
        <v>306</v>
      </c>
      <c r="H13" s="48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4">
        <v>45929.0</v>
      </c>
      <c r="C14" s="45" t="s">
        <v>307</v>
      </c>
      <c r="D14" s="46">
        <v>83.0</v>
      </c>
      <c r="E14" s="45" t="s">
        <v>151</v>
      </c>
      <c r="F14" s="37"/>
      <c r="G14" s="47" t="s">
        <v>308</v>
      </c>
      <c r="H14" s="4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4">
        <v>45926.0</v>
      </c>
      <c r="C15" s="45" t="s">
        <v>252</v>
      </c>
      <c r="D15" s="46">
        <v>107.83</v>
      </c>
      <c r="E15" s="45" t="s">
        <v>13</v>
      </c>
      <c r="F15" s="37"/>
      <c r="G15" s="47" t="s">
        <v>309</v>
      </c>
      <c r="H15" s="4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4">
        <v>45926.0</v>
      </c>
      <c r="C16" s="45" t="s">
        <v>264</v>
      </c>
      <c r="D16" s="46">
        <v>113.19</v>
      </c>
      <c r="E16" s="45" t="s">
        <v>13</v>
      </c>
      <c r="F16" s="37"/>
      <c r="G16" s="47" t="s">
        <v>310</v>
      </c>
      <c r="H16" s="4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4">
        <v>45937.0</v>
      </c>
      <c r="C17" s="45" t="s">
        <v>271</v>
      </c>
      <c r="D17" s="46">
        <v>50.0</v>
      </c>
      <c r="E17" s="45" t="s">
        <v>13</v>
      </c>
      <c r="F17" s="37"/>
      <c r="G17" s="47" t="s">
        <v>311</v>
      </c>
      <c r="H17" s="4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4">
        <v>45928.0</v>
      </c>
      <c r="C18" s="45" t="s">
        <v>270</v>
      </c>
      <c r="D18" s="46">
        <v>70.0</v>
      </c>
      <c r="E18" s="45" t="s">
        <v>13</v>
      </c>
      <c r="F18" s="37"/>
      <c r="G18" s="47" t="s">
        <v>312</v>
      </c>
      <c r="H18" s="48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4">
        <v>45948.0</v>
      </c>
      <c r="C19" s="45" t="s">
        <v>271</v>
      </c>
      <c r="D19" s="46">
        <v>191.0</v>
      </c>
      <c r="E19" s="45" t="s">
        <v>13</v>
      </c>
      <c r="F19" s="37"/>
      <c r="G19" s="47" t="s">
        <v>313</v>
      </c>
      <c r="H19" s="48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4">
        <v>45934.0</v>
      </c>
      <c r="C20" s="45" t="s">
        <v>284</v>
      </c>
      <c r="D20" s="46">
        <v>349.8</v>
      </c>
      <c r="E20" s="45" t="s">
        <v>13</v>
      </c>
      <c r="F20" s="37"/>
      <c r="G20" s="47" t="s">
        <v>314</v>
      </c>
      <c r="H20" s="48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4">
        <v>45941.0</v>
      </c>
      <c r="C21" s="45" t="s">
        <v>119</v>
      </c>
      <c r="D21" s="46">
        <v>89.9</v>
      </c>
      <c r="E21" s="45" t="s">
        <v>13</v>
      </c>
      <c r="F21" s="37"/>
      <c r="G21" s="47" t="s">
        <v>315</v>
      </c>
      <c r="H21" s="48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8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50" t="s">
        <v>6</v>
      </c>
      <c r="D23" s="51">
        <f>SUM(D3:D21)</f>
        <v>1621.41</v>
      </c>
      <c r="E23" s="37"/>
      <c r="F23" s="37"/>
      <c r="G23" s="38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52" t="s">
        <v>316</v>
      </c>
      <c r="D24" s="53">
        <f>D23-D9-D12</f>
        <v>1573.41</v>
      </c>
      <c r="E24" s="37"/>
      <c r="F24" s="37"/>
      <c r="G24" s="38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54" t="s">
        <v>317</v>
      </c>
      <c r="D25" s="55">
        <f>(D23-D24)+32.5</f>
        <v>80.5</v>
      </c>
      <c r="E25" s="37"/>
      <c r="F25" s="37"/>
      <c r="G25" s="38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56"/>
      <c r="D26" s="37"/>
      <c r="E26" s="37"/>
      <c r="F26" s="37"/>
      <c r="G26" s="38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57" t="s">
        <v>318</v>
      </c>
      <c r="D27" s="58">
        <f>D24+D25</f>
        <v>1653.91</v>
      </c>
      <c r="E27" s="37"/>
      <c r="F27" s="37"/>
      <c r="G27" s="38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44">
        <v>45926.0</v>
      </c>
      <c r="C29" s="45" t="s">
        <v>319</v>
      </c>
      <c r="D29" s="46">
        <v>130.0</v>
      </c>
      <c r="E29" s="45" t="s">
        <v>320</v>
      </c>
      <c r="F29" s="37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44">
        <v>45927.0</v>
      </c>
      <c r="C30" s="45" t="s">
        <v>321</v>
      </c>
      <c r="D30" s="46">
        <v>117.04</v>
      </c>
      <c r="E30" s="45" t="s">
        <v>320</v>
      </c>
      <c r="F30" s="37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45" t="s">
        <v>322</v>
      </c>
      <c r="D31" s="46">
        <f>D30+D29</f>
        <v>247.04</v>
      </c>
      <c r="E31" s="37"/>
      <c r="F31" s="37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E32" s="37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56" t="s">
        <v>323</v>
      </c>
      <c r="D33" s="56">
        <v>600.37</v>
      </c>
      <c r="E33" s="37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59">
        <f>D33-D30-D29</f>
        <v>353.33</v>
      </c>
      <c r="E34" s="37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C35" s="37"/>
      <c r="D35" s="37"/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63"/>
    <col customWidth="1" min="4" max="4" width="20.5"/>
    <col customWidth="1" min="5" max="5" width="2.25"/>
    <col customWidth="1" min="6" max="6" width="21.25"/>
    <col customWidth="1" min="7" max="7" width="37.63"/>
    <col customWidth="1" min="9" max="9" width="2.5"/>
    <col customWidth="1" min="10" max="10" width="26.13"/>
    <col customWidth="1" min="11" max="11" width="16.25"/>
    <col customWidth="1" min="12" max="12" width="8.0"/>
    <col customWidth="1" min="13" max="13" width="21.88"/>
    <col customWidth="1" min="14" max="16" width="15.0"/>
    <col customWidth="1" min="17" max="17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45957.0</v>
      </c>
      <c r="B2" s="5" t="s">
        <v>244</v>
      </c>
      <c r="C2" s="6">
        <v>31.5</v>
      </c>
      <c r="D2" s="5" t="s">
        <v>245</v>
      </c>
      <c r="F2" s="28" t="s">
        <v>145</v>
      </c>
      <c r="G2" s="29">
        <f>SUM(C:C)</f>
        <v>8773.35</v>
      </c>
      <c r="J2" s="60" t="s">
        <v>324</v>
      </c>
    </row>
    <row r="3">
      <c r="A3" s="4">
        <v>45957.0</v>
      </c>
      <c r="B3" s="5" t="s">
        <v>219</v>
      </c>
      <c r="C3" s="6">
        <v>40.9</v>
      </c>
      <c r="D3" s="5" t="s">
        <v>67</v>
      </c>
      <c r="J3" s="5" t="s">
        <v>24</v>
      </c>
      <c r="K3" s="8">
        <v>29.04</v>
      </c>
    </row>
    <row r="4">
      <c r="A4" s="4">
        <v>45957.0</v>
      </c>
      <c r="B4" s="5" t="s">
        <v>325</v>
      </c>
      <c r="C4" s="6">
        <v>185.49</v>
      </c>
      <c r="D4" s="5" t="s">
        <v>16</v>
      </c>
      <c r="J4" s="5" t="s">
        <v>28</v>
      </c>
      <c r="K4" s="8">
        <v>5483.88</v>
      </c>
    </row>
    <row r="5">
      <c r="A5" s="4">
        <v>45957.0</v>
      </c>
      <c r="B5" s="5" t="s">
        <v>326</v>
      </c>
      <c r="C5" s="6">
        <v>153.28</v>
      </c>
      <c r="D5" s="5" t="s">
        <v>16</v>
      </c>
      <c r="J5" s="5" t="s">
        <v>7</v>
      </c>
      <c r="K5" s="8">
        <v>174.56</v>
      </c>
    </row>
    <row r="6">
      <c r="A6" s="4">
        <v>45957.0</v>
      </c>
      <c r="B6" s="5" t="s">
        <v>327</v>
      </c>
      <c r="C6" s="6">
        <v>46.63</v>
      </c>
      <c r="D6" s="5" t="s">
        <v>104</v>
      </c>
      <c r="J6" s="5" t="s">
        <v>328</v>
      </c>
      <c r="K6" s="8">
        <v>0.0</v>
      </c>
    </row>
    <row r="7">
      <c r="A7" s="4">
        <v>45957.0</v>
      </c>
      <c r="B7" s="5" t="s">
        <v>329</v>
      </c>
      <c r="C7" s="6">
        <v>162.9</v>
      </c>
      <c r="D7" s="5" t="s">
        <v>12</v>
      </c>
      <c r="J7" s="5" t="s">
        <v>330</v>
      </c>
      <c r="K7" s="8">
        <v>2655.5</v>
      </c>
    </row>
    <row r="8">
      <c r="A8" s="4">
        <v>45957.0</v>
      </c>
      <c r="B8" s="5" t="s">
        <v>331</v>
      </c>
      <c r="C8" s="6">
        <v>98.41</v>
      </c>
      <c r="D8" s="5" t="s">
        <v>12</v>
      </c>
      <c r="J8" s="61" t="s">
        <v>179</v>
      </c>
      <c r="K8" s="62">
        <f>sum(K3:K7)</f>
        <v>8342.98</v>
      </c>
    </row>
    <row r="9">
      <c r="A9" s="4">
        <v>45957.0</v>
      </c>
      <c r="B9" s="5" t="s">
        <v>332</v>
      </c>
      <c r="C9" s="6">
        <v>243.67</v>
      </c>
      <c r="D9" s="5" t="s">
        <v>12</v>
      </c>
    </row>
    <row r="10">
      <c r="A10" s="4">
        <v>45957.0</v>
      </c>
      <c r="B10" s="5" t="s">
        <v>333</v>
      </c>
      <c r="C10" s="6">
        <v>32.71</v>
      </c>
      <c r="D10" s="5" t="s">
        <v>12</v>
      </c>
      <c r="J10" s="63" t="s">
        <v>334</v>
      </c>
    </row>
    <row r="11">
      <c r="A11" s="4">
        <v>45957.0</v>
      </c>
      <c r="B11" s="5" t="s">
        <v>335</v>
      </c>
      <c r="C11" s="6">
        <v>25.41</v>
      </c>
      <c r="D11" s="5" t="s">
        <v>149</v>
      </c>
      <c r="J11" s="5" t="s">
        <v>6</v>
      </c>
      <c r="K11" s="8">
        <f>G2</f>
        <v>8773.35</v>
      </c>
    </row>
    <row r="12">
      <c r="A12" s="4">
        <v>45957.0</v>
      </c>
      <c r="B12" s="5" t="s">
        <v>336</v>
      </c>
      <c r="C12" s="6">
        <v>117.5</v>
      </c>
      <c r="D12" s="5" t="s">
        <v>183</v>
      </c>
      <c r="J12" s="5" t="s">
        <v>13</v>
      </c>
      <c r="K12" s="8">
        <f>SUMIF(D:D, "Pedro", C:C)</f>
        <v>1926.88</v>
      </c>
    </row>
    <row r="13">
      <c r="A13" s="4">
        <v>45957.0</v>
      </c>
      <c r="B13" s="5" t="s">
        <v>45</v>
      </c>
      <c r="C13" s="6">
        <v>50.89</v>
      </c>
      <c r="D13" s="5" t="s">
        <v>183</v>
      </c>
      <c r="J13" s="5" t="s">
        <v>89</v>
      </c>
      <c r="K13" s="8">
        <f>SUMIF(D:D, "Mãe", C:C)</f>
        <v>432.82</v>
      </c>
    </row>
    <row r="14">
      <c r="A14" s="4">
        <v>45957.0</v>
      </c>
      <c r="B14" s="5" t="s">
        <v>337</v>
      </c>
      <c r="C14" s="6">
        <v>72.5</v>
      </c>
      <c r="D14" s="5" t="s">
        <v>183</v>
      </c>
      <c r="J14" s="5" t="s">
        <v>338</v>
      </c>
      <c r="K14" s="8">
        <f>K12+K13</f>
        <v>2359.7</v>
      </c>
    </row>
    <row r="15">
      <c r="A15" s="4">
        <v>45957.0</v>
      </c>
      <c r="B15" s="5" t="s">
        <v>339</v>
      </c>
      <c r="C15" s="6">
        <v>432.82</v>
      </c>
      <c r="D15" s="5" t="s">
        <v>89</v>
      </c>
      <c r="J15" s="64" t="s">
        <v>19</v>
      </c>
      <c r="K15" s="65">
        <f>K11-K14</f>
        <v>6413.65</v>
      </c>
    </row>
    <row r="16">
      <c r="A16" s="4">
        <v>45957.0</v>
      </c>
      <c r="B16" s="5" t="s">
        <v>40</v>
      </c>
      <c r="C16" s="6">
        <v>55.93</v>
      </c>
      <c r="D16" s="5" t="s">
        <v>31</v>
      </c>
    </row>
    <row r="17">
      <c r="A17" s="4">
        <v>45957.0</v>
      </c>
      <c r="B17" s="5" t="s">
        <v>279</v>
      </c>
      <c r="C17" s="6">
        <v>47.98</v>
      </c>
      <c r="D17" s="5" t="s">
        <v>31</v>
      </c>
      <c r="J17" s="66" t="s">
        <v>340</v>
      </c>
      <c r="K17" s="67"/>
    </row>
    <row r="18">
      <c r="A18" s="4">
        <v>45957.0</v>
      </c>
      <c r="B18" s="5" t="s">
        <v>341</v>
      </c>
      <c r="C18" s="6">
        <v>113.19</v>
      </c>
      <c r="D18" s="5" t="s">
        <v>13</v>
      </c>
      <c r="J18" s="8" t="s">
        <v>6</v>
      </c>
      <c r="K18" s="8">
        <v>1085.85</v>
      </c>
    </row>
    <row r="19">
      <c r="A19" s="4">
        <v>45957.0</v>
      </c>
      <c r="B19" s="5" t="s">
        <v>342</v>
      </c>
      <c r="C19" s="6">
        <v>191.0</v>
      </c>
      <c r="D19" s="5" t="s">
        <v>13</v>
      </c>
      <c r="J19" s="8" t="s">
        <v>343</v>
      </c>
      <c r="K19" s="8">
        <v>57.8</v>
      </c>
    </row>
    <row r="20">
      <c r="A20" s="4">
        <v>45957.0</v>
      </c>
      <c r="B20" s="5" t="s">
        <v>344</v>
      </c>
      <c r="C20" s="6">
        <v>302.66</v>
      </c>
      <c r="D20" s="5" t="s">
        <v>93</v>
      </c>
      <c r="J20" s="8" t="s">
        <v>346</v>
      </c>
      <c r="K20" s="8">
        <v>130.0</v>
      </c>
    </row>
    <row r="21">
      <c r="A21" s="4">
        <v>45957.0</v>
      </c>
      <c r="B21" s="5" t="s">
        <v>347</v>
      </c>
      <c r="C21" s="6">
        <v>256.19</v>
      </c>
      <c r="D21" s="5" t="s">
        <v>5</v>
      </c>
      <c r="J21" s="8" t="s">
        <v>348</v>
      </c>
      <c r="K21" s="8">
        <v>117.01</v>
      </c>
    </row>
    <row r="22">
      <c r="A22" s="4">
        <v>45957.0</v>
      </c>
      <c r="B22" s="5" t="s">
        <v>349</v>
      </c>
      <c r="C22" s="6">
        <v>142.5</v>
      </c>
      <c r="D22" s="5" t="s">
        <v>21</v>
      </c>
      <c r="J22" s="5" t="s">
        <v>350</v>
      </c>
      <c r="K22" s="8">
        <v>62.9</v>
      </c>
    </row>
    <row r="23">
      <c r="A23" s="4">
        <v>45957.0</v>
      </c>
      <c r="B23" s="5" t="s">
        <v>351</v>
      </c>
      <c r="C23" s="6">
        <v>70.51</v>
      </c>
      <c r="D23" s="5" t="s">
        <v>288</v>
      </c>
      <c r="J23" s="5" t="s">
        <v>338</v>
      </c>
      <c r="K23" s="8">
        <f>sum(K19:K22)</f>
        <v>367.71</v>
      </c>
    </row>
    <row r="24">
      <c r="A24" s="4">
        <v>45957.0</v>
      </c>
      <c r="B24" s="5" t="s">
        <v>351</v>
      </c>
      <c r="C24" s="6">
        <v>70.58</v>
      </c>
      <c r="D24" s="5" t="s">
        <v>288</v>
      </c>
      <c r="J24" s="64" t="s">
        <v>353</v>
      </c>
      <c r="K24" s="65">
        <f>K18-K23</f>
        <v>718.14</v>
      </c>
    </row>
    <row r="25">
      <c r="A25" s="4">
        <v>45957.0</v>
      </c>
      <c r="B25" s="5" t="s">
        <v>354</v>
      </c>
      <c r="C25" s="6">
        <v>59.95</v>
      </c>
      <c r="D25" s="5" t="s">
        <v>35</v>
      </c>
    </row>
    <row r="26">
      <c r="A26" s="4">
        <v>45957.0</v>
      </c>
      <c r="B26" s="5" t="s">
        <v>355</v>
      </c>
      <c r="C26" s="6">
        <v>179.9</v>
      </c>
      <c r="D26" s="5" t="s">
        <v>35</v>
      </c>
      <c r="J26" s="68" t="s">
        <v>356</v>
      </c>
      <c r="K26" s="65">
        <f>K24+K15</f>
        <v>7131.79</v>
      </c>
    </row>
    <row r="27">
      <c r="A27" s="4">
        <v>45957.0</v>
      </c>
      <c r="B27" s="5" t="s">
        <v>357</v>
      </c>
      <c r="C27" s="6">
        <v>44.95</v>
      </c>
      <c r="D27" s="5" t="s">
        <v>35</v>
      </c>
    </row>
    <row r="28">
      <c r="A28" s="4">
        <v>45957.0</v>
      </c>
      <c r="B28" s="5" t="s">
        <v>358</v>
      </c>
      <c r="C28" s="6">
        <v>47.72</v>
      </c>
      <c r="D28" s="5" t="s">
        <v>35</v>
      </c>
      <c r="J28" s="69" t="s">
        <v>359</v>
      </c>
      <c r="K28" s="67"/>
      <c r="L28" s="70" t="s">
        <v>360</v>
      </c>
    </row>
    <row r="29">
      <c r="A29" s="4">
        <v>45958.0</v>
      </c>
      <c r="B29" s="5" t="s">
        <v>77</v>
      </c>
      <c r="C29" s="6">
        <v>9.0</v>
      </c>
      <c r="D29" s="5" t="s">
        <v>67</v>
      </c>
      <c r="J29" s="5" t="s">
        <v>361</v>
      </c>
      <c r="K29" s="8">
        <v>85.0</v>
      </c>
      <c r="L29" s="71" t="s">
        <v>362</v>
      </c>
    </row>
    <row r="30">
      <c r="A30" s="4">
        <v>45958.0</v>
      </c>
      <c r="B30" s="5" t="s">
        <v>239</v>
      </c>
      <c r="C30" s="6">
        <v>2.8</v>
      </c>
      <c r="D30" s="5" t="s">
        <v>31</v>
      </c>
      <c r="J30" s="5" t="s">
        <v>363</v>
      </c>
      <c r="K30" s="8">
        <v>118.06</v>
      </c>
      <c r="L30" s="71" t="s">
        <v>362</v>
      </c>
    </row>
    <row r="31">
      <c r="A31" s="4">
        <v>45958.0</v>
      </c>
      <c r="B31" s="5" t="s">
        <v>364</v>
      </c>
      <c r="C31" s="6">
        <v>80.1</v>
      </c>
      <c r="D31" s="5" t="s">
        <v>31</v>
      </c>
      <c r="J31" s="5" t="s">
        <v>365</v>
      </c>
      <c r="K31" s="8">
        <v>53.32</v>
      </c>
      <c r="L31" s="71" t="s">
        <v>362</v>
      </c>
    </row>
    <row r="32">
      <c r="A32" s="4">
        <v>45958.0</v>
      </c>
      <c r="B32" s="5" t="s">
        <v>366</v>
      </c>
      <c r="C32" s="6">
        <v>126.18</v>
      </c>
      <c r="D32" s="5" t="s">
        <v>13</v>
      </c>
      <c r="J32" s="5" t="s">
        <v>367</v>
      </c>
      <c r="K32" s="8">
        <v>74.9</v>
      </c>
      <c r="L32" s="71" t="s">
        <v>362</v>
      </c>
    </row>
    <row r="33">
      <c r="A33" s="4">
        <v>45958.0</v>
      </c>
      <c r="B33" s="5" t="s">
        <v>231</v>
      </c>
      <c r="C33" s="6">
        <v>10.0</v>
      </c>
      <c r="D33" s="5" t="s">
        <v>245</v>
      </c>
      <c r="J33" s="5" t="s">
        <v>368</v>
      </c>
      <c r="K33" s="8">
        <v>195.0</v>
      </c>
      <c r="L33" s="71" t="s">
        <v>362</v>
      </c>
    </row>
    <row r="34">
      <c r="A34" s="4">
        <v>45960.0</v>
      </c>
      <c r="B34" s="5" t="s">
        <v>369</v>
      </c>
      <c r="C34" s="6">
        <v>27.6</v>
      </c>
      <c r="D34" s="5" t="s">
        <v>149</v>
      </c>
      <c r="J34" s="5" t="s">
        <v>370</v>
      </c>
      <c r="K34" s="8">
        <v>60.0</v>
      </c>
      <c r="L34" s="71" t="s">
        <v>362</v>
      </c>
    </row>
    <row r="35">
      <c r="A35" s="4">
        <v>45960.0</v>
      </c>
      <c r="B35" s="5" t="s">
        <v>120</v>
      </c>
      <c r="C35" s="6">
        <v>70.0</v>
      </c>
      <c r="D35" s="5" t="s">
        <v>49</v>
      </c>
      <c r="J35" s="72" t="s">
        <v>6</v>
      </c>
      <c r="K35" s="73">
        <f>SUMIF(L2:L92,"pendente",K2:K92)</f>
        <v>0</v>
      </c>
    </row>
    <row r="36">
      <c r="A36" s="4">
        <v>45960.0</v>
      </c>
      <c r="B36" s="5" t="s">
        <v>239</v>
      </c>
      <c r="C36" s="6">
        <v>14.42</v>
      </c>
      <c r="D36" s="5" t="s">
        <v>31</v>
      </c>
    </row>
    <row r="37">
      <c r="A37" s="4">
        <v>45961.0</v>
      </c>
      <c r="B37" s="5" t="s">
        <v>216</v>
      </c>
      <c r="C37" s="6">
        <v>20.99</v>
      </c>
      <c r="D37" s="5" t="s">
        <v>132</v>
      </c>
      <c r="J37" s="30" t="s">
        <v>371</v>
      </c>
      <c r="K37" s="74">
        <f>K26+K35</f>
        <v>7131.79</v>
      </c>
    </row>
    <row r="38">
      <c r="A38" s="4">
        <v>45961.0</v>
      </c>
      <c r="B38" s="5" t="s">
        <v>372</v>
      </c>
      <c r="C38" s="6">
        <v>191.7</v>
      </c>
      <c r="D38" s="5" t="s">
        <v>291</v>
      </c>
      <c r="J38" s="30" t="s">
        <v>373</v>
      </c>
      <c r="K38" s="75">
        <f>K8</f>
        <v>8342.98</v>
      </c>
    </row>
    <row r="39">
      <c r="A39" s="4">
        <v>45962.0</v>
      </c>
      <c r="B39" s="5" t="s">
        <v>374</v>
      </c>
      <c r="C39" s="6">
        <v>43.24</v>
      </c>
      <c r="D39" s="5" t="s">
        <v>149</v>
      </c>
      <c r="J39" s="30" t="s">
        <v>47</v>
      </c>
      <c r="K39" s="76">
        <f>K38-K37</f>
        <v>1211.19</v>
      </c>
    </row>
    <row r="40">
      <c r="A40" s="4">
        <v>45963.0</v>
      </c>
      <c r="B40" s="5" t="s">
        <v>244</v>
      </c>
      <c r="C40" s="6">
        <v>82.0</v>
      </c>
      <c r="D40" s="5" t="s">
        <v>245</v>
      </c>
    </row>
    <row r="41">
      <c r="A41" s="4">
        <v>45963.0</v>
      </c>
      <c r="B41" s="5" t="s">
        <v>99</v>
      </c>
      <c r="C41" s="6">
        <v>53.9</v>
      </c>
      <c r="D41" s="5" t="s">
        <v>67</v>
      </c>
    </row>
    <row r="42">
      <c r="A42" s="4">
        <v>45963.0</v>
      </c>
      <c r="B42" s="5" t="s">
        <v>375</v>
      </c>
      <c r="C42" s="6">
        <v>89.9</v>
      </c>
      <c r="D42" s="5" t="s">
        <v>149</v>
      </c>
    </row>
    <row r="43">
      <c r="A43" s="4">
        <v>45964.0</v>
      </c>
      <c r="B43" s="23" t="s">
        <v>98</v>
      </c>
      <c r="C43" s="6">
        <v>57.8</v>
      </c>
      <c r="D43" s="5" t="s">
        <v>67</v>
      </c>
    </row>
    <row r="44">
      <c r="A44" s="4">
        <v>45964.0</v>
      </c>
      <c r="B44" s="5" t="s">
        <v>239</v>
      </c>
      <c r="C44" s="6">
        <v>13.79</v>
      </c>
      <c r="D44" s="5" t="s">
        <v>31</v>
      </c>
    </row>
    <row r="45">
      <c r="A45" s="4">
        <v>45964.0</v>
      </c>
      <c r="B45" s="5" t="s">
        <v>376</v>
      </c>
      <c r="C45" s="6">
        <v>255.26</v>
      </c>
      <c r="D45" s="5" t="s">
        <v>13</v>
      </c>
    </row>
    <row r="46">
      <c r="A46" s="4">
        <v>45964.0</v>
      </c>
      <c r="B46" s="5" t="s">
        <v>377</v>
      </c>
      <c r="C46" s="6">
        <v>113.16</v>
      </c>
      <c r="D46" s="5" t="s">
        <v>13</v>
      </c>
    </row>
    <row r="47">
      <c r="A47" s="4">
        <v>45966.0</v>
      </c>
      <c r="B47" s="5" t="s">
        <v>378</v>
      </c>
      <c r="C47" s="6">
        <v>70.0</v>
      </c>
      <c r="D47" s="5" t="s">
        <v>13</v>
      </c>
    </row>
    <row r="48">
      <c r="A48" s="4">
        <v>45967.0</v>
      </c>
      <c r="B48" s="5" t="s">
        <v>108</v>
      </c>
      <c r="C48" s="6">
        <v>9.9</v>
      </c>
      <c r="D48" s="5" t="s">
        <v>67</v>
      </c>
    </row>
    <row r="49">
      <c r="A49" s="4">
        <v>45967.0</v>
      </c>
      <c r="B49" s="5" t="s">
        <v>379</v>
      </c>
      <c r="C49" s="6">
        <v>60.0</v>
      </c>
      <c r="D49" s="5" t="s">
        <v>13</v>
      </c>
    </row>
    <row r="50">
      <c r="A50" s="4">
        <v>45968.0</v>
      </c>
      <c r="B50" s="5" t="s">
        <v>84</v>
      </c>
      <c r="C50" s="6">
        <v>54.87</v>
      </c>
      <c r="D50" s="5" t="s">
        <v>16</v>
      </c>
      <c r="K50" s="3"/>
    </row>
    <row r="51">
      <c r="A51" s="4">
        <v>45969.0</v>
      </c>
      <c r="B51" s="5" t="s">
        <v>216</v>
      </c>
      <c r="C51" s="6">
        <v>50.18</v>
      </c>
      <c r="D51" s="5" t="s">
        <v>132</v>
      </c>
      <c r="K51" s="3"/>
    </row>
    <row r="52">
      <c r="A52" s="4">
        <v>45969.0</v>
      </c>
      <c r="B52" s="5" t="s">
        <v>380</v>
      </c>
      <c r="C52" s="6">
        <v>26.01</v>
      </c>
      <c r="D52" s="5" t="s">
        <v>104</v>
      </c>
      <c r="K52" s="3"/>
    </row>
    <row r="53">
      <c r="A53" s="4">
        <v>45969.0</v>
      </c>
      <c r="B53" s="5" t="s">
        <v>244</v>
      </c>
      <c r="C53" s="6">
        <v>22.0</v>
      </c>
      <c r="D53" s="5" t="s">
        <v>245</v>
      </c>
      <c r="K53" s="3"/>
    </row>
    <row r="54">
      <c r="A54" s="4">
        <v>45969.0</v>
      </c>
      <c r="B54" s="5" t="s">
        <v>266</v>
      </c>
      <c r="C54" s="6">
        <v>75.95</v>
      </c>
      <c r="D54" s="5" t="s">
        <v>183</v>
      </c>
      <c r="K54" s="3"/>
    </row>
    <row r="55">
      <c r="A55" s="4">
        <v>45969.0</v>
      </c>
      <c r="B55" s="5" t="s">
        <v>381</v>
      </c>
      <c r="C55" s="6">
        <v>24.0</v>
      </c>
      <c r="D55" s="5" t="s">
        <v>13</v>
      </c>
      <c r="K55" s="3"/>
    </row>
    <row r="56">
      <c r="A56" s="4">
        <v>45971.0</v>
      </c>
      <c r="B56" s="5" t="s">
        <v>382</v>
      </c>
      <c r="C56" s="6">
        <v>61.9</v>
      </c>
      <c r="D56" s="5" t="s">
        <v>149</v>
      </c>
      <c r="K56" s="3"/>
    </row>
    <row r="57">
      <c r="A57" s="4">
        <v>45971.0</v>
      </c>
      <c r="B57" s="5" t="s">
        <v>383</v>
      </c>
      <c r="C57" s="6">
        <v>50.0</v>
      </c>
      <c r="D57" s="5" t="s">
        <v>13</v>
      </c>
      <c r="K57" s="3"/>
    </row>
    <row r="58">
      <c r="A58" s="4">
        <v>45971.0</v>
      </c>
      <c r="B58" s="5" t="s">
        <v>123</v>
      </c>
      <c r="C58" s="6">
        <v>9.99</v>
      </c>
      <c r="D58" s="5" t="s">
        <v>67</v>
      </c>
      <c r="K58" s="3"/>
    </row>
    <row r="59">
      <c r="A59" s="4">
        <v>45971.0</v>
      </c>
      <c r="B59" s="5" t="s">
        <v>384</v>
      </c>
      <c r="C59" s="6">
        <v>19.0</v>
      </c>
      <c r="D59" s="5" t="s">
        <v>16</v>
      </c>
      <c r="K59" s="3"/>
    </row>
    <row r="60">
      <c r="A60" s="4">
        <v>45972.0</v>
      </c>
      <c r="B60" s="5" t="s">
        <v>119</v>
      </c>
      <c r="C60" s="6">
        <v>89.9</v>
      </c>
      <c r="D60" s="5" t="s">
        <v>13</v>
      </c>
      <c r="K60" s="3"/>
    </row>
    <row r="61">
      <c r="A61" s="4">
        <v>45972.0</v>
      </c>
      <c r="B61" s="5" t="s">
        <v>45</v>
      </c>
      <c r="C61" s="6">
        <v>40.08</v>
      </c>
      <c r="D61" s="5" t="s">
        <v>31</v>
      </c>
      <c r="K61" s="3"/>
    </row>
    <row r="62">
      <c r="A62" s="4">
        <v>45972.0</v>
      </c>
      <c r="B62" s="5" t="s">
        <v>119</v>
      </c>
      <c r="C62" s="6">
        <v>60.0</v>
      </c>
      <c r="D62" s="5" t="s">
        <v>67</v>
      </c>
      <c r="K62" s="3"/>
    </row>
    <row r="63">
      <c r="A63" s="4">
        <v>45972.0</v>
      </c>
      <c r="B63" s="5" t="s">
        <v>385</v>
      </c>
      <c r="C63" s="6">
        <v>112.8</v>
      </c>
      <c r="D63" s="5" t="s">
        <v>149</v>
      </c>
      <c r="K63" s="3"/>
    </row>
    <row r="64">
      <c r="A64" s="4">
        <v>45972.0</v>
      </c>
      <c r="B64" s="5" t="s">
        <v>216</v>
      </c>
      <c r="C64" s="6">
        <v>33.11</v>
      </c>
      <c r="D64" s="5" t="s">
        <v>132</v>
      </c>
      <c r="K64" s="3"/>
    </row>
    <row r="65">
      <c r="A65" s="4">
        <v>45972.0</v>
      </c>
      <c r="B65" s="5" t="s">
        <v>216</v>
      </c>
      <c r="C65" s="6">
        <v>83.18</v>
      </c>
      <c r="D65" s="5" t="s">
        <v>132</v>
      </c>
      <c r="K65" s="3"/>
    </row>
    <row r="66">
      <c r="A66" s="4">
        <v>45973.0</v>
      </c>
      <c r="B66" s="5" t="s">
        <v>386</v>
      </c>
      <c r="C66" s="6">
        <v>650.34</v>
      </c>
      <c r="D66" s="5" t="s">
        <v>13</v>
      </c>
      <c r="K66" s="3"/>
    </row>
    <row r="67">
      <c r="A67" s="4">
        <v>45973.0</v>
      </c>
      <c r="B67" s="5" t="s">
        <v>387</v>
      </c>
      <c r="C67" s="6">
        <v>69.9</v>
      </c>
      <c r="D67" s="5" t="s">
        <v>49</v>
      </c>
      <c r="K67" s="3"/>
    </row>
    <row r="68">
      <c r="A68" s="4">
        <v>45974.0</v>
      </c>
      <c r="B68" s="5" t="s">
        <v>388</v>
      </c>
      <c r="C68" s="6">
        <v>13.49</v>
      </c>
      <c r="D68" s="5" t="s">
        <v>31</v>
      </c>
      <c r="K68" s="3"/>
    </row>
    <row r="69">
      <c r="A69" s="4">
        <v>45974.0</v>
      </c>
      <c r="B69" s="5" t="s">
        <v>389</v>
      </c>
      <c r="C69" s="6">
        <v>69.9</v>
      </c>
      <c r="D69" s="5" t="s">
        <v>13</v>
      </c>
      <c r="K69" s="3"/>
    </row>
    <row r="70">
      <c r="A70" s="4">
        <v>45974.0</v>
      </c>
      <c r="B70" s="5" t="s">
        <v>390</v>
      </c>
      <c r="C70" s="6">
        <v>148.68</v>
      </c>
      <c r="D70" s="5" t="s">
        <v>391</v>
      </c>
      <c r="K70" s="3"/>
    </row>
    <row r="71">
      <c r="A71" s="4">
        <v>45974.0</v>
      </c>
      <c r="B71" s="5" t="s">
        <v>392</v>
      </c>
      <c r="C71" s="6">
        <v>28.68</v>
      </c>
      <c r="D71" s="5" t="s">
        <v>149</v>
      </c>
      <c r="K71" s="3"/>
    </row>
    <row r="72">
      <c r="A72" s="4">
        <v>45976.0</v>
      </c>
      <c r="B72" s="5" t="s">
        <v>244</v>
      </c>
      <c r="C72" s="6">
        <v>45.5</v>
      </c>
      <c r="D72" s="5" t="s">
        <v>245</v>
      </c>
      <c r="K72" s="3"/>
    </row>
    <row r="73">
      <c r="A73" s="4">
        <v>45976.0</v>
      </c>
      <c r="B73" s="5" t="s">
        <v>393</v>
      </c>
      <c r="C73" s="6">
        <v>49.98</v>
      </c>
      <c r="D73" s="5" t="s">
        <v>149</v>
      </c>
      <c r="K73" s="3"/>
    </row>
    <row r="74">
      <c r="A74" s="4">
        <v>45976.0</v>
      </c>
      <c r="B74" s="5" t="s">
        <v>394</v>
      </c>
      <c r="C74" s="6">
        <v>75.34</v>
      </c>
      <c r="D74" s="5" t="s">
        <v>35</v>
      </c>
      <c r="K74" s="3"/>
    </row>
    <row r="75">
      <c r="A75" s="4">
        <v>45976.0</v>
      </c>
      <c r="B75" s="5" t="s">
        <v>395</v>
      </c>
      <c r="C75" s="6">
        <v>38.9</v>
      </c>
      <c r="D75" s="5" t="s">
        <v>183</v>
      </c>
      <c r="K75" s="3"/>
    </row>
    <row r="76">
      <c r="A76" s="4">
        <v>45977.0</v>
      </c>
      <c r="B76" s="5" t="s">
        <v>120</v>
      </c>
      <c r="C76" s="6">
        <v>40.0</v>
      </c>
      <c r="D76" s="5" t="s">
        <v>49</v>
      </c>
      <c r="K76" s="3"/>
    </row>
    <row r="77">
      <c r="A77" s="4">
        <v>45977.0</v>
      </c>
      <c r="B77" s="5" t="s">
        <v>396</v>
      </c>
      <c r="C77" s="6">
        <v>24.0</v>
      </c>
      <c r="D77" s="5" t="s">
        <v>245</v>
      </c>
      <c r="K77" s="3"/>
    </row>
    <row r="78">
      <c r="A78" s="4">
        <v>45977.0</v>
      </c>
      <c r="B78" s="5" t="s">
        <v>397</v>
      </c>
      <c r="C78" s="6">
        <v>65.9</v>
      </c>
      <c r="D78" s="5" t="s">
        <v>49</v>
      </c>
      <c r="K78" s="3"/>
    </row>
    <row r="79">
      <c r="A79" s="4">
        <v>45977.0</v>
      </c>
      <c r="B79" s="5" t="s">
        <v>398</v>
      </c>
      <c r="C79" s="6">
        <v>222.12</v>
      </c>
      <c r="D79" s="5" t="s">
        <v>35</v>
      </c>
      <c r="K79" s="3"/>
    </row>
    <row r="80">
      <c r="A80" s="4">
        <v>45977.0</v>
      </c>
      <c r="B80" s="5" t="s">
        <v>399</v>
      </c>
      <c r="C80" s="6">
        <v>73.51</v>
      </c>
      <c r="D80" s="5" t="s">
        <v>35</v>
      </c>
      <c r="K80" s="3"/>
    </row>
    <row r="81">
      <c r="A81" s="4">
        <v>45980.0</v>
      </c>
      <c r="B81" s="5" t="s">
        <v>400</v>
      </c>
      <c r="C81" s="6">
        <v>76.25</v>
      </c>
      <c r="D81" s="5" t="s">
        <v>35</v>
      </c>
      <c r="K81" s="3"/>
    </row>
    <row r="82">
      <c r="A82" s="4">
        <v>45979.0</v>
      </c>
      <c r="B82" s="5" t="s">
        <v>401</v>
      </c>
      <c r="C82" s="6">
        <v>169.05</v>
      </c>
      <c r="D82" s="5" t="s">
        <v>49</v>
      </c>
      <c r="K82" s="3"/>
    </row>
    <row r="83">
      <c r="A83" s="4">
        <v>45979.0</v>
      </c>
      <c r="B83" s="5" t="s">
        <v>402</v>
      </c>
      <c r="C83" s="6">
        <v>76.86</v>
      </c>
      <c r="D83" s="5" t="s">
        <v>49</v>
      </c>
      <c r="K83" s="3"/>
    </row>
    <row r="84">
      <c r="A84" s="4">
        <v>45979.0</v>
      </c>
      <c r="B84" s="5" t="s">
        <v>403</v>
      </c>
      <c r="C84" s="6">
        <v>36.54</v>
      </c>
      <c r="D84" s="5" t="s">
        <v>149</v>
      </c>
      <c r="K84" s="3"/>
    </row>
    <row r="85">
      <c r="A85" s="4">
        <v>45978.0</v>
      </c>
      <c r="B85" s="5" t="s">
        <v>388</v>
      </c>
      <c r="C85" s="6">
        <v>5.49</v>
      </c>
      <c r="D85" s="5" t="s">
        <v>31</v>
      </c>
      <c r="K85" s="3"/>
    </row>
    <row r="86">
      <c r="A86" s="4">
        <v>45978.0</v>
      </c>
      <c r="B86" s="5" t="s">
        <v>166</v>
      </c>
      <c r="C86" s="6">
        <v>45.6</v>
      </c>
      <c r="D86" s="5" t="s">
        <v>31</v>
      </c>
      <c r="K86" s="3"/>
    </row>
    <row r="87">
      <c r="A87" s="4">
        <v>45978.0</v>
      </c>
      <c r="B87" s="5" t="s">
        <v>404</v>
      </c>
      <c r="C87" s="6">
        <v>48.06</v>
      </c>
      <c r="D87" s="5" t="s">
        <v>149</v>
      </c>
      <c r="K87" s="3"/>
    </row>
    <row r="88">
      <c r="A88" s="4">
        <v>45980.0</v>
      </c>
      <c r="B88" s="5" t="s">
        <v>405</v>
      </c>
      <c r="C88" s="6">
        <v>39.98</v>
      </c>
      <c r="D88" s="5" t="s">
        <v>49</v>
      </c>
      <c r="K88" s="3"/>
    </row>
    <row r="89">
      <c r="A89" s="4">
        <v>45983.0</v>
      </c>
      <c r="B89" s="5" t="s">
        <v>406</v>
      </c>
      <c r="C89" s="6">
        <v>80.0</v>
      </c>
      <c r="D89" s="5" t="s">
        <v>35</v>
      </c>
      <c r="K89" s="3"/>
    </row>
    <row r="90">
      <c r="A90" s="4">
        <v>45983.0</v>
      </c>
      <c r="B90" s="5" t="s">
        <v>407</v>
      </c>
      <c r="C90" s="6">
        <v>80.0</v>
      </c>
      <c r="D90" s="5" t="s">
        <v>149</v>
      </c>
      <c r="K90" s="3"/>
    </row>
    <row r="91">
      <c r="A91" s="4">
        <v>45983.0</v>
      </c>
      <c r="B91" s="5" t="s">
        <v>242</v>
      </c>
      <c r="C91" s="6">
        <v>55.5</v>
      </c>
      <c r="D91" s="5" t="s">
        <v>31</v>
      </c>
      <c r="K91" s="3"/>
    </row>
    <row r="92">
      <c r="A92" s="4">
        <v>45983.0</v>
      </c>
      <c r="B92" s="5" t="s">
        <v>408</v>
      </c>
      <c r="C92" s="6">
        <v>84.9</v>
      </c>
      <c r="D92" s="5" t="s">
        <v>409</v>
      </c>
      <c r="K92" s="3"/>
    </row>
    <row r="93">
      <c r="A93" s="4">
        <v>45982.0</v>
      </c>
      <c r="B93" s="5" t="s">
        <v>227</v>
      </c>
      <c r="C93" s="6">
        <v>38.0</v>
      </c>
      <c r="D93" s="5" t="s">
        <v>149</v>
      </c>
      <c r="K93" s="3"/>
    </row>
    <row r="94">
      <c r="A94" s="4">
        <v>45982.0</v>
      </c>
      <c r="B94" s="5" t="s">
        <v>410</v>
      </c>
      <c r="C94" s="6">
        <v>92.97</v>
      </c>
      <c r="D94" s="5" t="s">
        <v>49</v>
      </c>
      <c r="K94" s="3"/>
    </row>
    <row r="95">
      <c r="A95" s="4">
        <v>45982.0</v>
      </c>
      <c r="B95" s="5" t="s">
        <v>411</v>
      </c>
      <c r="C95" s="6">
        <v>63.5</v>
      </c>
      <c r="D95" s="5" t="s">
        <v>35</v>
      </c>
      <c r="K95" s="3"/>
    </row>
    <row r="96">
      <c r="A96" s="4">
        <v>45981.0</v>
      </c>
      <c r="B96" s="5" t="s">
        <v>412</v>
      </c>
      <c r="C96" s="6">
        <v>100.0</v>
      </c>
      <c r="D96" s="5" t="s">
        <v>16</v>
      </c>
      <c r="K96" s="3"/>
    </row>
    <row r="97">
      <c r="A97" s="4">
        <v>45981.0</v>
      </c>
      <c r="B97" s="5" t="s">
        <v>413</v>
      </c>
      <c r="C97" s="6">
        <v>73.95</v>
      </c>
      <c r="D97" s="5" t="s">
        <v>31</v>
      </c>
      <c r="K97" s="3"/>
    </row>
    <row r="98">
      <c r="A98" s="4">
        <v>45981.0</v>
      </c>
      <c r="B98" s="5" t="s">
        <v>414</v>
      </c>
      <c r="C98" s="6">
        <v>72.0</v>
      </c>
      <c r="D98" s="5" t="s">
        <v>245</v>
      </c>
      <c r="K98" s="3"/>
    </row>
    <row r="99">
      <c r="A99" s="4">
        <v>45985.0</v>
      </c>
      <c r="B99" s="5" t="s">
        <v>40</v>
      </c>
      <c r="C99" s="6">
        <v>52.44</v>
      </c>
      <c r="D99" s="5" t="s">
        <v>31</v>
      </c>
      <c r="K99" s="3"/>
    </row>
    <row r="100">
      <c r="A100" s="4">
        <v>45985.0</v>
      </c>
      <c r="B100" s="5" t="s">
        <v>269</v>
      </c>
      <c r="C100" s="6">
        <v>100.0</v>
      </c>
      <c r="D100" s="5" t="s">
        <v>16</v>
      </c>
      <c r="K100" s="3"/>
    </row>
    <row r="101">
      <c r="A101" s="4">
        <v>45985.0</v>
      </c>
      <c r="B101" s="5" t="s">
        <v>415</v>
      </c>
      <c r="C101" s="6">
        <v>113.95</v>
      </c>
      <c r="D101" s="5" t="s">
        <v>13</v>
      </c>
      <c r="K101" s="3"/>
    </row>
    <row r="102">
      <c r="A102" s="4">
        <v>45985.0</v>
      </c>
      <c r="B102" s="5" t="s">
        <v>216</v>
      </c>
      <c r="C102" s="6">
        <v>21.78</v>
      </c>
      <c r="D102" s="5" t="s">
        <v>132</v>
      </c>
      <c r="K102" s="3"/>
    </row>
    <row r="103">
      <c r="A103" s="4">
        <v>45985.0</v>
      </c>
      <c r="B103" s="5" t="s">
        <v>244</v>
      </c>
      <c r="C103" s="6">
        <v>34.0</v>
      </c>
      <c r="D103" s="5" t="s">
        <v>245</v>
      </c>
      <c r="K103" s="3"/>
    </row>
    <row r="104">
      <c r="A104" s="4">
        <v>45985.0</v>
      </c>
      <c r="B104" s="5" t="s">
        <v>404</v>
      </c>
      <c r="C104" s="6">
        <v>45.11</v>
      </c>
      <c r="D104" s="5" t="s">
        <v>149</v>
      </c>
      <c r="K104" s="3"/>
    </row>
    <row r="105">
      <c r="A105" s="4">
        <v>45986.0</v>
      </c>
      <c r="B105" s="5" t="s">
        <v>216</v>
      </c>
      <c r="C105" s="6">
        <v>58.8</v>
      </c>
      <c r="D105" s="5" t="s">
        <v>132</v>
      </c>
      <c r="K105" s="3"/>
    </row>
    <row r="106">
      <c r="A106" s="27"/>
      <c r="C106" s="22"/>
      <c r="K106" s="3"/>
    </row>
    <row r="107">
      <c r="A107" s="27"/>
      <c r="C107" s="22"/>
      <c r="K107" s="3"/>
    </row>
    <row r="108">
      <c r="A108" s="27"/>
      <c r="C108" s="22"/>
      <c r="K108" s="3"/>
    </row>
    <row r="109">
      <c r="A109" s="27"/>
      <c r="C109" s="22"/>
      <c r="K109" s="3"/>
    </row>
    <row r="110">
      <c r="A110" s="27"/>
      <c r="C110" s="22"/>
      <c r="K110" s="3"/>
    </row>
    <row r="111">
      <c r="A111" s="27"/>
      <c r="C111" s="22"/>
      <c r="K111" s="3"/>
    </row>
    <row r="112">
      <c r="A112" s="27"/>
      <c r="C112" s="22"/>
      <c r="K112" s="3"/>
    </row>
    <row r="113">
      <c r="A113" s="27"/>
      <c r="C113" s="22"/>
      <c r="K113" s="3"/>
    </row>
    <row r="114">
      <c r="A114" s="27"/>
      <c r="C114" s="22"/>
      <c r="K114" s="3"/>
    </row>
    <row r="115">
      <c r="A115" s="27"/>
      <c r="C115" s="22"/>
      <c r="K115" s="3"/>
    </row>
    <row r="116">
      <c r="A116" s="27"/>
      <c r="C116" s="22"/>
      <c r="K116" s="3"/>
    </row>
    <row r="117">
      <c r="A117" s="27"/>
      <c r="C117" s="22"/>
      <c r="K117" s="3"/>
    </row>
    <row r="118">
      <c r="A118" s="27"/>
      <c r="C118" s="22"/>
      <c r="K118" s="3"/>
    </row>
    <row r="119">
      <c r="A119" s="27"/>
      <c r="C119" s="22"/>
      <c r="K119" s="3"/>
    </row>
    <row r="120">
      <c r="A120" s="27"/>
      <c r="C120" s="22"/>
      <c r="K120" s="3"/>
    </row>
    <row r="121">
      <c r="A121" s="27"/>
      <c r="C121" s="22"/>
      <c r="K121" s="3"/>
    </row>
    <row r="122">
      <c r="A122" s="27"/>
      <c r="C122" s="22"/>
      <c r="K122" s="3"/>
    </row>
    <row r="123">
      <c r="A123" s="27"/>
      <c r="C123" s="22"/>
      <c r="K123" s="3"/>
    </row>
    <row r="124">
      <c r="A124" s="27"/>
      <c r="C124" s="22"/>
      <c r="K124" s="3"/>
    </row>
    <row r="125">
      <c r="A125" s="27"/>
      <c r="C125" s="22"/>
      <c r="K125" s="3"/>
    </row>
    <row r="126">
      <c r="A126" s="27"/>
      <c r="C126" s="22"/>
      <c r="K126" s="3"/>
    </row>
    <row r="127">
      <c r="A127" s="27"/>
      <c r="C127" s="22"/>
      <c r="K127" s="3"/>
    </row>
    <row r="128">
      <c r="A128" s="27"/>
      <c r="C128" s="22"/>
      <c r="K128" s="3"/>
    </row>
    <row r="129">
      <c r="A129" s="27"/>
      <c r="C129" s="22"/>
      <c r="K129" s="3"/>
    </row>
    <row r="130">
      <c r="A130" s="27"/>
      <c r="C130" s="22"/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A794" s="27"/>
      <c r="C794" s="22"/>
      <c r="K794" s="3"/>
    </row>
    <row r="795">
      <c r="A795" s="27"/>
      <c r="C795" s="22"/>
      <c r="K795" s="3"/>
    </row>
    <row r="796">
      <c r="A796" s="27"/>
      <c r="C796" s="22"/>
      <c r="K796" s="3"/>
    </row>
    <row r="797">
      <c r="A797" s="27"/>
      <c r="C797" s="22"/>
      <c r="K797" s="3"/>
    </row>
    <row r="798">
      <c r="A798" s="27"/>
      <c r="C798" s="22"/>
      <c r="K798" s="3"/>
    </row>
    <row r="799">
      <c r="A799" s="27"/>
      <c r="C799" s="22"/>
      <c r="K799" s="3"/>
    </row>
    <row r="800">
      <c r="A800" s="27"/>
      <c r="C800" s="22"/>
      <c r="K800" s="3"/>
    </row>
    <row r="801">
      <c r="A801" s="27"/>
      <c r="C801" s="22"/>
      <c r="K801" s="3"/>
    </row>
    <row r="802">
      <c r="A802" s="27"/>
      <c r="C802" s="22"/>
      <c r="K802" s="3"/>
    </row>
    <row r="803">
      <c r="A803" s="27"/>
      <c r="C803" s="22"/>
      <c r="K803" s="3"/>
    </row>
    <row r="804">
      <c r="A804" s="27"/>
      <c r="C804" s="22"/>
      <c r="K804" s="3"/>
    </row>
    <row r="805">
      <c r="A805" s="27"/>
      <c r="C805" s="22"/>
      <c r="K805" s="3"/>
    </row>
    <row r="806">
      <c r="A806" s="27"/>
      <c r="C806" s="22"/>
      <c r="K806" s="3"/>
    </row>
    <row r="807">
      <c r="A807" s="27"/>
      <c r="C807" s="22"/>
      <c r="K807" s="3"/>
    </row>
    <row r="808">
      <c r="A808" s="27"/>
      <c r="C808" s="22"/>
      <c r="K808" s="3"/>
    </row>
    <row r="809">
      <c r="A809" s="27"/>
      <c r="C809" s="22"/>
      <c r="K809" s="3"/>
    </row>
    <row r="810">
      <c r="A810" s="27"/>
      <c r="C810" s="22"/>
      <c r="K810" s="3"/>
    </row>
    <row r="811">
      <c r="A811" s="27"/>
      <c r="C811" s="22"/>
      <c r="K811" s="3"/>
    </row>
    <row r="812">
      <c r="A812" s="27"/>
      <c r="C812" s="22"/>
      <c r="K812" s="3"/>
    </row>
    <row r="813">
      <c r="A813" s="27"/>
      <c r="C813" s="22"/>
      <c r="K813" s="3"/>
    </row>
    <row r="814">
      <c r="A814" s="27"/>
      <c r="C814" s="22"/>
      <c r="K814" s="3"/>
    </row>
    <row r="815">
      <c r="A815" s="27"/>
      <c r="C815" s="22"/>
      <c r="K815" s="3"/>
    </row>
    <row r="816">
      <c r="A816" s="27"/>
      <c r="C816" s="22"/>
      <c r="K816" s="3"/>
    </row>
    <row r="817">
      <c r="A817" s="27"/>
      <c r="C817" s="22"/>
      <c r="K817" s="3"/>
    </row>
    <row r="818">
      <c r="A818" s="27"/>
      <c r="C818" s="22"/>
      <c r="K818" s="3"/>
    </row>
    <row r="819">
      <c r="A819" s="27"/>
      <c r="C819" s="22"/>
      <c r="K819" s="3"/>
    </row>
    <row r="820">
      <c r="A820" s="27"/>
      <c r="C820" s="22"/>
      <c r="K820" s="3"/>
    </row>
    <row r="821">
      <c r="A821" s="27"/>
      <c r="C821" s="22"/>
      <c r="K821" s="3"/>
    </row>
    <row r="822">
      <c r="A822" s="27"/>
      <c r="C822" s="22"/>
      <c r="K822" s="3"/>
    </row>
    <row r="823">
      <c r="A823" s="27"/>
      <c r="C823" s="22"/>
      <c r="K823" s="3"/>
    </row>
    <row r="824">
      <c r="A824" s="27"/>
      <c r="C824" s="22"/>
      <c r="K824" s="3"/>
    </row>
    <row r="825">
      <c r="A825" s="27"/>
      <c r="C825" s="22"/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</sheetData>
  <autoFilter ref="$A$1:$D$944">
    <sortState ref="A1:D944">
      <sortCondition ref="A1:A944"/>
    </sortState>
  </autoFilter>
  <mergeCells count="4">
    <mergeCell ref="J2:K2"/>
    <mergeCell ref="J10:K10"/>
    <mergeCell ref="J17:K17"/>
    <mergeCell ref="J28:K28"/>
  </mergeCells>
  <conditionalFormatting sqref="L1:L948 H35:I35">
    <cfRule type="containsText" dxfId="0" priority="1" operator="containsText" text="Pago">
      <formula>NOT(ISERROR(SEARCH(("Pago"),(L1))))</formula>
    </cfRule>
  </conditionalFormatting>
  <conditionalFormatting sqref="L1:L948 H35:I35">
    <cfRule type="containsText" dxfId="1" priority="2" operator="containsText" text="Pendente">
      <formula>NOT(ISERROR(SEARCH(("Pendente"),(L1))))</formula>
    </cfRule>
  </conditionalFormatting>
  <hyperlinks>
    <hyperlink r:id="rId2" ref="B4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15.13"/>
    <col customWidth="1" min="7" max="7" width="19.25"/>
    <col customWidth="1" min="8" max="8" width="48.88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1" t="s">
        <v>0</v>
      </c>
      <c r="C2" s="1" t="s">
        <v>1</v>
      </c>
      <c r="D2" s="2" t="s">
        <v>2</v>
      </c>
      <c r="E2" s="1" t="s">
        <v>3</v>
      </c>
      <c r="F2" s="1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45967.0</v>
      </c>
      <c r="C3" s="5" t="s">
        <v>379</v>
      </c>
      <c r="D3" s="6">
        <v>60.0</v>
      </c>
      <c r="E3" s="71" t="s">
        <v>13</v>
      </c>
      <c r="F3" s="71" t="s">
        <v>417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45985.0</v>
      </c>
      <c r="C4" s="5" t="s">
        <v>415</v>
      </c>
      <c r="D4" s="6">
        <v>113.95</v>
      </c>
      <c r="E4" s="71" t="s">
        <v>13</v>
      </c>
      <c r="F4" s="71" t="s">
        <v>183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45964.0</v>
      </c>
      <c r="C5" s="5" t="s">
        <v>376</v>
      </c>
      <c r="D5" s="6">
        <v>255.26</v>
      </c>
      <c r="E5" s="71" t="s">
        <v>13</v>
      </c>
      <c r="F5" s="71" t="s">
        <v>418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45973.0</v>
      </c>
      <c r="C6" s="5" t="s">
        <v>386</v>
      </c>
      <c r="D6" s="6">
        <v>650.34</v>
      </c>
      <c r="E6" s="71" t="s">
        <v>13</v>
      </c>
      <c r="F6" s="71" t="s">
        <v>419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45966.0</v>
      </c>
      <c r="C7" s="5" t="s">
        <v>378</v>
      </c>
      <c r="D7" s="6">
        <v>70.0</v>
      </c>
      <c r="E7" s="71" t="s">
        <v>13</v>
      </c>
      <c r="F7" s="71" t="s">
        <v>420</v>
      </c>
      <c r="G7" s="39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45969.0</v>
      </c>
      <c r="C8" s="5" t="s">
        <v>381</v>
      </c>
      <c r="D8" s="6">
        <v>24.0</v>
      </c>
      <c r="E8" s="71" t="s">
        <v>13</v>
      </c>
      <c r="F8" s="71" t="s">
        <v>245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45958.0</v>
      </c>
      <c r="C9" s="5" t="s">
        <v>366</v>
      </c>
      <c r="D9" s="6">
        <v>126.18</v>
      </c>
      <c r="E9" s="71" t="s">
        <v>13</v>
      </c>
      <c r="F9" s="71" t="s">
        <v>421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45964.0</v>
      </c>
      <c r="C10" s="5" t="s">
        <v>377</v>
      </c>
      <c r="D10" s="6">
        <v>113.16</v>
      </c>
      <c r="E10" s="71" t="s">
        <v>13</v>
      </c>
      <c r="F10" s="71" t="s">
        <v>422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45957.0</v>
      </c>
      <c r="C11" s="5" t="s">
        <v>341</v>
      </c>
      <c r="D11" s="6">
        <v>113.19</v>
      </c>
      <c r="E11" s="71" t="s">
        <v>13</v>
      </c>
      <c r="F11" s="71" t="s">
        <v>423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45971.0</v>
      </c>
      <c r="C12" s="5" t="s">
        <v>383</v>
      </c>
      <c r="D12" s="6">
        <v>50.0</v>
      </c>
      <c r="E12" s="71" t="s">
        <v>13</v>
      </c>
      <c r="F12" s="71" t="s">
        <v>417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45957.0</v>
      </c>
      <c r="C13" s="5" t="s">
        <v>342</v>
      </c>
      <c r="D13" s="6">
        <v>191.0</v>
      </c>
      <c r="E13" s="71" t="s">
        <v>13</v>
      </c>
      <c r="F13" s="71" t="s">
        <v>424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45974.0</v>
      </c>
      <c r="C14" s="5" t="s">
        <v>389</v>
      </c>
      <c r="D14" s="6">
        <v>69.9</v>
      </c>
      <c r="E14" s="71" t="s">
        <v>13</v>
      </c>
      <c r="F14" s="71" t="s">
        <v>425</v>
      </c>
      <c r="G14" s="39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45979.0</v>
      </c>
      <c r="C15" s="5" t="s">
        <v>402</v>
      </c>
      <c r="D15" s="6">
        <v>38.43</v>
      </c>
      <c r="E15" s="71" t="s">
        <v>13</v>
      </c>
      <c r="F15" s="71" t="s">
        <v>426</v>
      </c>
      <c r="G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45972.0</v>
      </c>
      <c r="C16" s="5" t="s">
        <v>119</v>
      </c>
      <c r="D16" s="6">
        <v>89.9</v>
      </c>
      <c r="E16" s="71" t="s">
        <v>13</v>
      </c>
      <c r="F16" s="71" t="s">
        <v>427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F17" s="37"/>
      <c r="G17" s="77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8"/>
      <c r="C18" s="78" t="s">
        <v>6</v>
      </c>
      <c r="D18" s="79">
        <f>SUM(D2:D16)</f>
        <v>1965.31</v>
      </c>
      <c r="E18" s="38"/>
      <c r="F18" s="37"/>
      <c r="G18" s="39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C19" s="80" t="s">
        <v>428</v>
      </c>
      <c r="D19" s="81">
        <f>D18-D13</f>
        <v>1774.31</v>
      </c>
      <c r="F19" s="37"/>
      <c r="G19" s="39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8"/>
      <c r="C20" s="38"/>
      <c r="D20" s="38"/>
      <c r="E20" s="38"/>
      <c r="F20" s="37"/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4">
        <v>45926.0</v>
      </c>
      <c r="C21" s="8" t="s">
        <v>429</v>
      </c>
      <c r="D21" s="8">
        <v>130.0</v>
      </c>
      <c r="E21" s="45" t="s">
        <v>320</v>
      </c>
      <c r="F21" s="37"/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4">
        <v>45927.0</v>
      </c>
      <c r="C22" s="8" t="s">
        <v>348</v>
      </c>
      <c r="D22" s="8">
        <v>117.01</v>
      </c>
      <c r="E22" s="45" t="s">
        <v>320</v>
      </c>
      <c r="F22" s="37"/>
      <c r="G22" s="38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50" t="s">
        <v>6</v>
      </c>
      <c r="D23" s="51">
        <f>SUM(D21:D22)</f>
        <v>247.01</v>
      </c>
      <c r="E23" s="37"/>
      <c r="F23" s="37"/>
      <c r="G23" s="38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E24" s="37"/>
      <c r="F24" s="37"/>
      <c r="G24" s="38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82" t="s">
        <v>430</v>
      </c>
      <c r="D25" s="83">
        <f>D18+D23</f>
        <v>2212.32</v>
      </c>
      <c r="E25" s="37"/>
      <c r="F25" s="37"/>
      <c r="G25" s="38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C26" s="82" t="s">
        <v>431</v>
      </c>
      <c r="D26" s="84">
        <f>D19+D23</f>
        <v>2021.32</v>
      </c>
      <c r="F26" s="37"/>
      <c r="G26" s="38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F27" s="37"/>
      <c r="G27" s="38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8"/>
      <c r="C28" s="38"/>
      <c r="D28" s="38"/>
      <c r="E28" s="38"/>
      <c r="F28" s="38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38"/>
      <c r="D29" s="38"/>
      <c r="E29" s="38"/>
      <c r="F29" s="38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8"/>
      <c r="D30" s="38"/>
      <c r="E30" s="38"/>
      <c r="F30" s="38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8"/>
      <c r="C31" s="38"/>
      <c r="D31" s="38"/>
      <c r="E31" s="38"/>
      <c r="F31" s="38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E32" s="37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56"/>
      <c r="D33" s="56"/>
      <c r="E33" s="37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C35" s="37"/>
      <c r="D35" s="37"/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8"/>
      <c r="C36" s="38"/>
      <c r="D36" s="38"/>
      <c r="E36" s="38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8"/>
      <c r="C37" s="38"/>
      <c r="D37" s="38"/>
      <c r="E37" s="38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8"/>
      <c r="C38" s="38"/>
      <c r="D38" s="38"/>
      <c r="E38" s="38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8"/>
      <c r="C39" s="38"/>
      <c r="D39" s="38"/>
      <c r="E39" s="38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8"/>
      <c r="C40" s="38"/>
      <c r="D40" s="38"/>
      <c r="E40" s="38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8"/>
      <c r="C41" s="38"/>
      <c r="D41" s="38"/>
      <c r="E41" s="38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8"/>
      <c r="C42" s="38"/>
      <c r="D42" s="38"/>
      <c r="E42" s="38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8"/>
      <c r="C43" s="38"/>
      <c r="D43" s="38"/>
      <c r="E43" s="38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8"/>
      <c r="C44" s="38"/>
      <c r="D44" s="38"/>
      <c r="E44" s="38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8"/>
      <c r="C45" s="38"/>
      <c r="D45" s="38"/>
      <c r="E45" s="38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38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8"/>
      <c r="C47" s="38"/>
      <c r="D47" s="38"/>
      <c r="E47" s="38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8"/>
      <c r="C48" s="38"/>
      <c r="D48" s="38"/>
      <c r="E48" s="38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8"/>
      <c r="C49" s="38"/>
      <c r="D49" s="38"/>
      <c r="E49" s="38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38"/>
      <c r="D50" s="38"/>
      <c r="E50" s="38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8"/>
      <c r="C51" s="38"/>
      <c r="D51" s="38"/>
      <c r="E51" s="38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autoFilter ref="$B$2:$F$16">
    <sortState ref="B2:F16">
      <sortCondition ref="C2:C16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1.2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K1" s="3"/>
    </row>
    <row r="2">
      <c r="A2" s="4">
        <v>45987.0</v>
      </c>
      <c r="B2" s="5" t="s">
        <v>432</v>
      </c>
      <c r="C2" s="6">
        <v>73.51</v>
      </c>
      <c r="D2" s="5" t="s">
        <v>35</v>
      </c>
      <c r="F2" s="28" t="s">
        <v>145</v>
      </c>
      <c r="G2" s="29">
        <f>SUM(C:C)</f>
        <v>9664.38</v>
      </c>
      <c r="J2" s="60" t="s">
        <v>324</v>
      </c>
    </row>
    <row r="3">
      <c r="A3" s="4">
        <v>45987.0</v>
      </c>
      <c r="B3" s="5" t="s">
        <v>433</v>
      </c>
      <c r="C3" s="6">
        <v>650.33</v>
      </c>
      <c r="D3" s="5" t="s">
        <v>434</v>
      </c>
      <c r="J3" s="5" t="s">
        <v>24</v>
      </c>
      <c r="K3" s="8">
        <v>1324.65</v>
      </c>
    </row>
    <row r="4">
      <c r="A4" s="4">
        <v>45987.0</v>
      </c>
      <c r="B4" s="5" t="s">
        <v>435</v>
      </c>
      <c r="C4" s="6">
        <v>70.51</v>
      </c>
      <c r="D4" s="5" t="s">
        <v>288</v>
      </c>
      <c r="J4" s="5" t="s">
        <v>28</v>
      </c>
      <c r="K4" s="8">
        <v>10000.63</v>
      </c>
    </row>
    <row r="5">
      <c r="A5" s="4">
        <v>45987.0</v>
      </c>
      <c r="B5" s="5" t="s">
        <v>436</v>
      </c>
      <c r="C5" s="6">
        <v>169.05</v>
      </c>
      <c r="D5" s="5" t="s">
        <v>49</v>
      </c>
      <c r="J5" s="5" t="s">
        <v>7</v>
      </c>
      <c r="K5" s="8">
        <v>276.49</v>
      </c>
    </row>
    <row r="6">
      <c r="A6" s="4">
        <v>45987.0</v>
      </c>
      <c r="B6" s="5" t="s">
        <v>437</v>
      </c>
      <c r="C6" s="6">
        <v>76.86</v>
      </c>
      <c r="D6" s="5" t="s">
        <v>438</v>
      </c>
      <c r="J6" s="5" t="s">
        <v>328</v>
      </c>
      <c r="K6" s="8">
        <v>0.0</v>
      </c>
    </row>
    <row r="7">
      <c r="A7" s="4">
        <v>45987.0</v>
      </c>
      <c r="B7" s="5" t="s">
        <v>439</v>
      </c>
      <c r="C7" s="6">
        <v>243.67</v>
      </c>
      <c r="D7" s="5" t="s">
        <v>12</v>
      </c>
      <c r="J7" s="5" t="s">
        <v>440</v>
      </c>
      <c r="K7" s="8">
        <v>0.0</v>
      </c>
    </row>
    <row r="8">
      <c r="A8" s="4">
        <v>45987.0</v>
      </c>
      <c r="B8" s="5" t="s">
        <v>435</v>
      </c>
      <c r="C8" s="6">
        <v>70.58</v>
      </c>
      <c r="D8" s="5" t="s">
        <v>288</v>
      </c>
      <c r="J8" s="5" t="s">
        <v>330</v>
      </c>
      <c r="K8" s="8">
        <v>0.0</v>
      </c>
    </row>
    <row r="9">
      <c r="A9" s="4">
        <v>45987.0</v>
      </c>
      <c r="B9" s="5" t="s">
        <v>442</v>
      </c>
      <c r="C9" s="6">
        <v>255.25</v>
      </c>
      <c r="D9" s="5" t="s">
        <v>13</v>
      </c>
      <c r="J9" s="61" t="s">
        <v>179</v>
      </c>
      <c r="K9" s="62">
        <f>sum(K3:K8)</f>
        <v>11601.77</v>
      </c>
    </row>
    <row r="10">
      <c r="A10" s="4">
        <v>45987.0</v>
      </c>
      <c r="B10" s="5" t="s">
        <v>443</v>
      </c>
      <c r="C10" s="6">
        <v>432.82</v>
      </c>
      <c r="D10" s="5" t="s">
        <v>89</v>
      </c>
    </row>
    <row r="11">
      <c r="A11" s="4">
        <v>45987.0</v>
      </c>
      <c r="B11" s="5" t="s">
        <v>445</v>
      </c>
      <c r="C11" s="6">
        <v>113.19</v>
      </c>
      <c r="D11" s="5" t="s">
        <v>13</v>
      </c>
      <c r="J11" s="63" t="s">
        <v>334</v>
      </c>
    </row>
    <row r="12">
      <c r="A12" s="4">
        <v>45987.0</v>
      </c>
      <c r="B12" s="5" t="s">
        <v>446</v>
      </c>
      <c r="C12" s="6">
        <v>142.5</v>
      </c>
      <c r="D12" s="5" t="s">
        <v>21</v>
      </c>
      <c r="J12" s="5" t="s">
        <v>6</v>
      </c>
      <c r="K12" s="8">
        <f>G2</f>
        <v>9664.38</v>
      </c>
    </row>
    <row r="13">
      <c r="A13" s="4">
        <v>45987.0</v>
      </c>
      <c r="B13" s="5" t="s">
        <v>447</v>
      </c>
      <c r="C13" s="6">
        <v>47.72</v>
      </c>
      <c r="D13" s="5" t="s">
        <v>35</v>
      </c>
      <c r="J13" s="5" t="s">
        <v>13</v>
      </c>
      <c r="K13" s="8">
        <f>SUMIF(D:D, "Pedro", C:C)</f>
        <v>2262.52</v>
      </c>
    </row>
    <row r="14">
      <c r="A14" s="4">
        <v>45987.0</v>
      </c>
      <c r="B14" s="5" t="s">
        <v>448</v>
      </c>
      <c r="C14" s="6">
        <v>75.34</v>
      </c>
      <c r="D14" s="5" t="s">
        <v>35</v>
      </c>
      <c r="J14" s="5" t="s">
        <v>449</v>
      </c>
      <c r="K14" s="85">
        <f>74.09+35</f>
        <v>109.09</v>
      </c>
    </row>
    <row r="15">
      <c r="A15" s="4">
        <v>45987.0</v>
      </c>
      <c r="B15" s="5" t="s">
        <v>450</v>
      </c>
      <c r="C15" s="6">
        <v>113.16</v>
      </c>
      <c r="D15" s="5" t="s">
        <v>13</v>
      </c>
      <c r="J15" s="5" t="s">
        <v>451</v>
      </c>
      <c r="K15" s="85">
        <v>17.56</v>
      </c>
    </row>
    <row r="16">
      <c r="A16" s="4">
        <v>45987.0</v>
      </c>
      <c r="B16" s="5" t="s">
        <v>388</v>
      </c>
      <c r="C16" s="6">
        <v>17.88</v>
      </c>
      <c r="D16" s="5" t="s">
        <v>31</v>
      </c>
      <c r="J16" s="5" t="s">
        <v>452</v>
      </c>
      <c r="K16" s="85">
        <f>47+72.7</f>
        <v>119.7</v>
      </c>
    </row>
    <row r="17">
      <c r="A17" s="4">
        <v>45987.0</v>
      </c>
      <c r="B17" s="5" t="s">
        <v>30</v>
      </c>
      <c r="C17" s="6">
        <v>113.95</v>
      </c>
      <c r="D17" s="5" t="s">
        <v>13</v>
      </c>
      <c r="J17" s="5" t="s">
        <v>453</v>
      </c>
      <c r="K17" s="8">
        <v>38.43</v>
      </c>
    </row>
    <row r="18">
      <c r="A18" s="4">
        <v>45987.0</v>
      </c>
      <c r="B18" s="5" t="s">
        <v>454</v>
      </c>
      <c r="C18" s="6">
        <v>126.18</v>
      </c>
      <c r="D18" s="5" t="s">
        <v>13</v>
      </c>
      <c r="J18" s="5" t="s">
        <v>89</v>
      </c>
      <c r="K18" s="8">
        <f>SUMIF(D:D, "Mãe", C:C)</f>
        <v>432.82</v>
      </c>
    </row>
    <row r="19">
      <c r="A19" s="4">
        <v>45987.0</v>
      </c>
      <c r="B19" s="5" t="s">
        <v>455</v>
      </c>
      <c r="C19" s="6">
        <v>222.08</v>
      </c>
      <c r="D19" s="5" t="s">
        <v>35</v>
      </c>
      <c r="J19" s="5" t="s">
        <v>434</v>
      </c>
      <c r="K19" s="8">
        <v>0.0</v>
      </c>
    </row>
    <row r="20">
      <c r="A20" s="4">
        <v>45987.0</v>
      </c>
      <c r="B20" s="5" t="s">
        <v>456</v>
      </c>
      <c r="C20" s="6">
        <v>98.41</v>
      </c>
      <c r="D20" s="5" t="s">
        <v>12</v>
      </c>
      <c r="J20" s="5" t="s">
        <v>457</v>
      </c>
      <c r="K20" s="8">
        <f>sum(K13:K17)</f>
        <v>2547.3</v>
      </c>
    </row>
    <row r="21">
      <c r="A21" s="4">
        <v>45987.0</v>
      </c>
      <c r="B21" s="5" t="s">
        <v>458</v>
      </c>
      <c r="C21" s="6">
        <v>256.19</v>
      </c>
      <c r="D21" s="5" t="s">
        <v>5</v>
      </c>
      <c r="J21" s="5" t="s">
        <v>338</v>
      </c>
      <c r="K21" s="8">
        <f>sum(K13:K19)</f>
        <v>2980.12</v>
      </c>
    </row>
    <row r="22">
      <c r="A22" s="4">
        <v>45987.0</v>
      </c>
      <c r="B22" s="5" t="s">
        <v>460</v>
      </c>
      <c r="C22" s="6">
        <v>69.99</v>
      </c>
      <c r="D22" s="5" t="s">
        <v>13</v>
      </c>
      <c r="J22" s="64" t="s">
        <v>19</v>
      </c>
      <c r="K22" s="65">
        <f>K12-K21</f>
        <v>6684.26</v>
      </c>
    </row>
    <row r="23">
      <c r="A23" s="4">
        <v>45987.0</v>
      </c>
      <c r="B23" s="5" t="s">
        <v>462</v>
      </c>
      <c r="C23" s="6">
        <v>63.5</v>
      </c>
      <c r="D23" s="5" t="s">
        <v>35</v>
      </c>
    </row>
    <row r="24">
      <c r="A24" s="4">
        <v>45988.0</v>
      </c>
      <c r="B24" s="5" t="s">
        <v>464</v>
      </c>
      <c r="C24" s="6">
        <v>264.9</v>
      </c>
      <c r="D24" s="5" t="s">
        <v>13</v>
      </c>
      <c r="J24" s="66" t="s">
        <v>340</v>
      </c>
      <c r="K24" s="67"/>
    </row>
    <row r="25">
      <c r="A25" s="4">
        <v>45988.0</v>
      </c>
      <c r="B25" s="5" t="s">
        <v>146</v>
      </c>
      <c r="C25" s="6">
        <v>163.89</v>
      </c>
      <c r="D25" s="5" t="s">
        <v>31</v>
      </c>
      <c r="J25" s="8" t="s">
        <v>6</v>
      </c>
      <c r="K25" s="8">
        <v>337.96</v>
      </c>
    </row>
    <row r="26">
      <c r="A26" s="4">
        <v>45988.0</v>
      </c>
      <c r="B26" s="5" t="s">
        <v>219</v>
      </c>
      <c r="C26" s="6">
        <v>40.9</v>
      </c>
      <c r="D26" s="5" t="s">
        <v>67</v>
      </c>
      <c r="J26" s="8" t="s">
        <v>466</v>
      </c>
      <c r="K26" s="8">
        <v>57.8</v>
      </c>
    </row>
    <row r="27">
      <c r="A27" s="4">
        <v>45988.0</v>
      </c>
      <c r="B27" s="5" t="s">
        <v>467</v>
      </c>
      <c r="C27" s="6">
        <v>70.5</v>
      </c>
      <c r="D27" s="5" t="s">
        <v>438</v>
      </c>
      <c r="J27" s="8" t="s">
        <v>469</v>
      </c>
      <c r="K27" s="8">
        <v>117.01</v>
      </c>
    </row>
    <row r="28">
      <c r="A28" s="4">
        <v>45989.0</v>
      </c>
      <c r="B28" s="5" t="s">
        <v>124</v>
      </c>
      <c r="C28" s="6">
        <v>25.0</v>
      </c>
      <c r="D28" s="5" t="s">
        <v>16</v>
      </c>
      <c r="J28" s="5" t="s">
        <v>338</v>
      </c>
      <c r="K28" s="8">
        <f>sum(K26:K27)</f>
        <v>174.81</v>
      </c>
    </row>
    <row r="29">
      <c r="A29" s="4">
        <v>45989.0</v>
      </c>
      <c r="B29" s="5" t="s">
        <v>471</v>
      </c>
      <c r="C29" s="6">
        <v>12.17</v>
      </c>
      <c r="D29" s="5" t="s">
        <v>31</v>
      </c>
      <c r="J29" s="64" t="s">
        <v>353</v>
      </c>
      <c r="K29" s="65">
        <f>K25-K28</f>
        <v>163.15</v>
      </c>
    </row>
    <row r="30">
      <c r="A30" s="4">
        <v>45990.0</v>
      </c>
      <c r="B30" s="5" t="s">
        <v>396</v>
      </c>
      <c r="C30" s="6">
        <v>12.0</v>
      </c>
      <c r="D30" s="5" t="s">
        <v>245</v>
      </c>
    </row>
    <row r="31">
      <c r="A31" s="4">
        <v>45990.0</v>
      </c>
      <c r="B31" s="5" t="s">
        <v>473</v>
      </c>
      <c r="C31" s="6">
        <v>49.0</v>
      </c>
      <c r="D31" s="5" t="s">
        <v>149</v>
      </c>
      <c r="J31" s="68" t="s">
        <v>356</v>
      </c>
      <c r="K31" s="65">
        <f>K29+K22</f>
        <v>6847.41</v>
      </c>
    </row>
    <row r="32">
      <c r="A32" s="4">
        <v>45990.0</v>
      </c>
      <c r="B32" s="5" t="s">
        <v>77</v>
      </c>
      <c r="C32" s="6">
        <v>9.0</v>
      </c>
      <c r="D32" s="5" t="s">
        <v>67</v>
      </c>
    </row>
    <row r="33">
      <c r="A33" s="4">
        <v>45990.0</v>
      </c>
      <c r="B33" s="5" t="s">
        <v>474</v>
      </c>
      <c r="C33" s="6">
        <v>106.6</v>
      </c>
      <c r="D33" s="5" t="s">
        <v>13</v>
      </c>
      <c r="J33" s="69" t="s">
        <v>359</v>
      </c>
      <c r="K33" s="67"/>
      <c r="L33" s="70" t="s">
        <v>360</v>
      </c>
    </row>
    <row r="34">
      <c r="A34" s="4">
        <v>45990.0</v>
      </c>
      <c r="B34" s="5" t="s">
        <v>124</v>
      </c>
      <c r="C34" s="6">
        <v>25.0</v>
      </c>
      <c r="D34" s="5" t="s">
        <v>16</v>
      </c>
      <c r="J34" s="5" t="s">
        <v>361</v>
      </c>
      <c r="K34" s="8">
        <v>85.0</v>
      </c>
      <c r="L34" s="71" t="s">
        <v>362</v>
      </c>
    </row>
    <row r="35">
      <c r="A35" s="4">
        <v>45990.0</v>
      </c>
      <c r="B35" s="5" t="s">
        <v>475</v>
      </c>
      <c r="C35" s="6">
        <v>51.8</v>
      </c>
      <c r="D35" s="5" t="s">
        <v>13</v>
      </c>
      <c r="J35" s="5" t="s">
        <v>363</v>
      </c>
      <c r="K35" s="8">
        <v>119.77</v>
      </c>
      <c r="L35" s="71" t="s">
        <v>362</v>
      </c>
    </row>
    <row r="36">
      <c r="A36" s="4">
        <v>45991.0</v>
      </c>
      <c r="B36" s="5" t="s">
        <v>396</v>
      </c>
      <c r="C36" s="6">
        <v>50.0</v>
      </c>
      <c r="D36" s="5" t="s">
        <v>245</v>
      </c>
      <c r="J36" s="5" t="s">
        <v>365</v>
      </c>
      <c r="K36" s="8">
        <v>53.33</v>
      </c>
      <c r="L36" s="71" t="s">
        <v>362</v>
      </c>
    </row>
    <row r="37">
      <c r="A37" s="4">
        <v>45991.0</v>
      </c>
      <c r="B37" s="5" t="s">
        <v>216</v>
      </c>
      <c r="C37" s="6">
        <v>38.07</v>
      </c>
      <c r="D37" s="5" t="s">
        <v>132</v>
      </c>
      <c r="J37" s="5" t="s">
        <v>367</v>
      </c>
      <c r="K37" s="8">
        <v>74.9</v>
      </c>
      <c r="L37" s="71" t="s">
        <v>362</v>
      </c>
    </row>
    <row r="38">
      <c r="A38" s="4">
        <v>45991.0</v>
      </c>
      <c r="B38" s="5" t="s">
        <v>476</v>
      </c>
      <c r="C38" s="6">
        <v>14.0</v>
      </c>
      <c r="D38" s="5" t="s">
        <v>245</v>
      </c>
      <c r="J38" s="5" t="s">
        <v>368</v>
      </c>
      <c r="K38" s="8">
        <v>195.0</v>
      </c>
      <c r="L38" s="71" t="s">
        <v>362</v>
      </c>
    </row>
    <row r="39">
      <c r="A39" s="4">
        <v>45991.0</v>
      </c>
      <c r="B39" s="5" t="s">
        <v>477</v>
      </c>
      <c r="C39" s="6">
        <v>33.98</v>
      </c>
      <c r="D39" s="5" t="s">
        <v>31</v>
      </c>
      <c r="J39" s="5" t="s">
        <v>370</v>
      </c>
      <c r="K39" s="8">
        <v>60.0</v>
      </c>
      <c r="L39" s="71" t="s">
        <v>362</v>
      </c>
    </row>
    <row r="40">
      <c r="A40" s="4">
        <v>45991.0</v>
      </c>
      <c r="B40" s="5" t="s">
        <v>478</v>
      </c>
      <c r="C40" s="6">
        <v>146.25</v>
      </c>
      <c r="D40" s="5" t="s">
        <v>13</v>
      </c>
      <c r="J40" s="72" t="s">
        <v>6</v>
      </c>
      <c r="K40" s="73">
        <f>SUMIF(L2:L93,"pendente",K2:K95)</f>
        <v>0</v>
      </c>
    </row>
    <row r="41">
      <c r="A41" s="4">
        <v>45991.0</v>
      </c>
      <c r="B41" s="5" t="s">
        <v>479</v>
      </c>
      <c r="C41" s="6">
        <v>37.73</v>
      </c>
      <c r="D41" s="5" t="s">
        <v>149</v>
      </c>
    </row>
    <row r="42">
      <c r="A42" s="4">
        <v>45991.0</v>
      </c>
      <c r="B42" s="5" t="s">
        <v>120</v>
      </c>
      <c r="C42" s="6">
        <v>70.0</v>
      </c>
      <c r="D42" s="5" t="s">
        <v>49</v>
      </c>
      <c r="J42" s="30" t="s">
        <v>371</v>
      </c>
      <c r="K42" s="74">
        <f>K31+K40</f>
        <v>6847.41</v>
      </c>
    </row>
    <row r="43">
      <c r="A43" s="4">
        <v>45991.0</v>
      </c>
      <c r="B43" s="5" t="s">
        <v>480</v>
      </c>
      <c r="C43" s="6">
        <v>26.9</v>
      </c>
      <c r="D43" s="5" t="s">
        <v>132</v>
      </c>
      <c r="J43" s="30" t="s">
        <v>373</v>
      </c>
      <c r="K43" s="75">
        <f>K9</f>
        <v>11601.77</v>
      </c>
    </row>
    <row r="44">
      <c r="A44" s="4">
        <v>45991.0</v>
      </c>
      <c r="B44" s="5" t="s">
        <v>481</v>
      </c>
      <c r="C44" s="6">
        <v>6.9</v>
      </c>
      <c r="D44" s="5" t="s">
        <v>13</v>
      </c>
      <c r="J44" s="30" t="s">
        <v>47</v>
      </c>
      <c r="K44" s="76">
        <f>K43-K42</f>
        <v>4754.36</v>
      </c>
    </row>
    <row r="45">
      <c r="A45" s="4">
        <v>45991.0</v>
      </c>
      <c r="B45" s="5" t="s">
        <v>482</v>
      </c>
      <c r="C45" s="6">
        <v>136.47</v>
      </c>
      <c r="D45" s="5" t="s">
        <v>438</v>
      </c>
    </row>
    <row r="46">
      <c r="A46" s="4">
        <v>45992.0</v>
      </c>
      <c r="B46" s="5" t="s">
        <v>483</v>
      </c>
      <c r="C46" s="6">
        <v>112.34</v>
      </c>
      <c r="D46" s="5" t="s">
        <v>484</v>
      </c>
    </row>
    <row r="47">
      <c r="A47" s="4">
        <v>45992.0</v>
      </c>
      <c r="B47" s="5" t="s">
        <v>485</v>
      </c>
      <c r="C47" s="6">
        <v>10.98</v>
      </c>
      <c r="D47" s="5" t="s">
        <v>31</v>
      </c>
    </row>
    <row r="48">
      <c r="A48" s="4">
        <v>45992.0</v>
      </c>
      <c r="B48" s="5" t="s">
        <v>486</v>
      </c>
      <c r="C48" s="6">
        <v>23.0</v>
      </c>
      <c r="D48" s="5" t="s">
        <v>31</v>
      </c>
    </row>
    <row r="49">
      <c r="A49" s="4">
        <v>45992.0</v>
      </c>
      <c r="B49" s="5" t="s">
        <v>477</v>
      </c>
      <c r="C49" s="6">
        <v>19.04</v>
      </c>
      <c r="D49" s="5" t="s">
        <v>31</v>
      </c>
    </row>
    <row r="50">
      <c r="A50" s="4">
        <v>45992.0</v>
      </c>
      <c r="B50" s="5" t="s">
        <v>251</v>
      </c>
      <c r="C50" s="6">
        <v>20.99</v>
      </c>
      <c r="D50" s="5" t="s">
        <v>149</v>
      </c>
    </row>
    <row r="51">
      <c r="A51" s="4">
        <v>45992.0</v>
      </c>
      <c r="B51" s="5" t="s">
        <v>487</v>
      </c>
      <c r="C51" s="6">
        <v>100.0</v>
      </c>
      <c r="D51" s="5" t="s">
        <v>245</v>
      </c>
    </row>
    <row r="52">
      <c r="A52" s="4">
        <v>45993.0</v>
      </c>
      <c r="B52" s="5" t="s">
        <v>99</v>
      </c>
      <c r="C52" s="6">
        <v>53.9</v>
      </c>
      <c r="D52" s="5" t="s">
        <v>67</v>
      </c>
    </row>
    <row r="53">
      <c r="A53" s="4">
        <v>45993.0</v>
      </c>
      <c r="B53" s="5" t="s">
        <v>385</v>
      </c>
      <c r="C53" s="6">
        <v>45.01</v>
      </c>
      <c r="D53" s="5" t="s">
        <v>149</v>
      </c>
    </row>
    <row r="54">
      <c r="A54" s="4">
        <v>45993.0</v>
      </c>
      <c r="B54" s="5" t="s">
        <v>488</v>
      </c>
      <c r="C54" s="6">
        <v>11.0</v>
      </c>
      <c r="D54" s="5" t="s">
        <v>489</v>
      </c>
    </row>
    <row r="55">
      <c r="A55" s="4">
        <v>45993.0</v>
      </c>
      <c r="B55" s="5" t="s">
        <v>269</v>
      </c>
      <c r="C55" s="6">
        <v>317.02</v>
      </c>
      <c r="D55" s="5" t="s">
        <v>16</v>
      </c>
      <c r="K55" s="3"/>
    </row>
    <row r="56">
      <c r="A56" s="4">
        <v>45993.0</v>
      </c>
      <c r="B56" s="86" t="s">
        <v>490</v>
      </c>
      <c r="C56" s="6">
        <v>57.8</v>
      </c>
      <c r="D56" s="5" t="s">
        <v>67</v>
      </c>
      <c r="K56" s="3"/>
    </row>
    <row r="57">
      <c r="A57" s="4">
        <v>45994.0</v>
      </c>
      <c r="B57" s="5" t="s">
        <v>491</v>
      </c>
      <c r="C57" s="6">
        <v>32.41</v>
      </c>
      <c r="D57" s="5" t="s">
        <v>49</v>
      </c>
      <c r="K57" s="3"/>
    </row>
    <row r="58">
      <c r="A58" s="4">
        <v>45995.0</v>
      </c>
      <c r="B58" s="5" t="s">
        <v>492</v>
      </c>
      <c r="C58" s="6">
        <v>31.1</v>
      </c>
      <c r="D58" s="5" t="s">
        <v>149</v>
      </c>
      <c r="K58" s="3"/>
    </row>
    <row r="59">
      <c r="A59" s="4">
        <v>45997.0</v>
      </c>
      <c r="B59" s="5" t="s">
        <v>493</v>
      </c>
      <c r="C59" s="6">
        <v>14.9</v>
      </c>
      <c r="D59" s="5" t="s">
        <v>67</v>
      </c>
      <c r="K59" s="3"/>
    </row>
    <row r="60">
      <c r="A60" s="4">
        <v>45997.0</v>
      </c>
      <c r="B60" s="5" t="s">
        <v>494</v>
      </c>
      <c r="C60" s="6">
        <v>145.4</v>
      </c>
      <c r="D60" s="5" t="s">
        <v>438</v>
      </c>
      <c r="K60" s="3"/>
    </row>
    <row r="61">
      <c r="A61" s="4">
        <v>45997.0</v>
      </c>
      <c r="B61" s="5" t="s">
        <v>495</v>
      </c>
      <c r="C61" s="6">
        <v>4.0</v>
      </c>
      <c r="D61" s="5" t="s">
        <v>35</v>
      </c>
      <c r="K61" s="3"/>
    </row>
    <row r="62">
      <c r="A62" s="4">
        <v>45997.0</v>
      </c>
      <c r="B62" s="5" t="s">
        <v>117</v>
      </c>
      <c r="C62" s="6">
        <v>23.06</v>
      </c>
      <c r="D62" s="5" t="s">
        <v>149</v>
      </c>
      <c r="K62" s="3"/>
    </row>
    <row r="63">
      <c r="A63" s="4">
        <v>45997.0</v>
      </c>
      <c r="B63" s="5" t="s">
        <v>244</v>
      </c>
      <c r="C63" s="6">
        <v>51.0</v>
      </c>
      <c r="D63" s="5" t="s">
        <v>245</v>
      </c>
      <c r="K63" s="3"/>
    </row>
    <row r="64">
      <c r="A64" s="4">
        <v>45998.0</v>
      </c>
      <c r="B64" s="5" t="s">
        <v>471</v>
      </c>
      <c r="C64" s="6">
        <v>10.9</v>
      </c>
      <c r="D64" s="5" t="s">
        <v>31</v>
      </c>
      <c r="K64" s="3"/>
    </row>
    <row r="65">
      <c r="A65" s="4">
        <v>45998.0</v>
      </c>
      <c r="B65" s="5" t="s">
        <v>244</v>
      </c>
      <c r="C65" s="6">
        <v>46.9</v>
      </c>
      <c r="D65" s="5" t="s">
        <v>49</v>
      </c>
      <c r="K65" s="3"/>
    </row>
    <row r="66">
      <c r="A66" s="4">
        <v>45998.0</v>
      </c>
      <c r="B66" s="5" t="s">
        <v>496</v>
      </c>
      <c r="C66" s="6">
        <v>36.0</v>
      </c>
      <c r="D66" s="5" t="s">
        <v>13</v>
      </c>
      <c r="K66" s="3"/>
    </row>
    <row r="67">
      <c r="A67" s="4">
        <v>45998.0</v>
      </c>
      <c r="B67" s="5" t="s">
        <v>497</v>
      </c>
      <c r="C67" s="6">
        <v>70.0</v>
      </c>
      <c r="D67" s="5" t="s">
        <v>13</v>
      </c>
      <c r="K67" s="3"/>
    </row>
    <row r="68">
      <c r="A68" s="4">
        <v>45998.0</v>
      </c>
      <c r="B68" s="5" t="s">
        <v>498</v>
      </c>
      <c r="C68" s="6">
        <v>96.05</v>
      </c>
      <c r="D68" s="5" t="s">
        <v>132</v>
      </c>
      <c r="K68" s="3"/>
    </row>
    <row r="69">
      <c r="A69" s="4">
        <v>45999.0</v>
      </c>
      <c r="B69" s="5" t="s">
        <v>499</v>
      </c>
      <c r="C69" s="6">
        <v>82.17</v>
      </c>
      <c r="D69" s="5" t="s">
        <v>31</v>
      </c>
      <c r="K69" s="3"/>
    </row>
    <row r="70">
      <c r="A70" s="4">
        <v>45999.0</v>
      </c>
      <c r="B70" s="5" t="s">
        <v>283</v>
      </c>
      <c r="C70" s="6">
        <v>53.83</v>
      </c>
      <c r="D70" s="5" t="s">
        <v>132</v>
      </c>
      <c r="K70" s="3"/>
    </row>
    <row r="71">
      <c r="A71" s="4">
        <v>45999.0</v>
      </c>
      <c r="B71" s="5" t="s">
        <v>45</v>
      </c>
      <c r="C71" s="6">
        <v>105.95</v>
      </c>
      <c r="D71" s="5" t="s">
        <v>31</v>
      </c>
      <c r="K71" s="3"/>
    </row>
    <row r="72">
      <c r="A72" s="4">
        <v>45999.0</v>
      </c>
      <c r="B72" s="5" t="s">
        <v>500</v>
      </c>
      <c r="C72" s="6">
        <v>32.41</v>
      </c>
      <c r="D72" s="5" t="s">
        <v>13</v>
      </c>
      <c r="K72" s="3"/>
    </row>
    <row r="73">
      <c r="A73" s="4">
        <v>45999.0</v>
      </c>
      <c r="B73" s="5" t="s">
        <v>501</v>
      </c>
      <c r="C73" s="6">
        <v>37.0</v>
      </c>
      <c r="D73" s="5" t="s">
        <v>245</v>
      </c>
      <c r="K73" s="3"/>
    </row>
    <row r="74">
      <c r="A74" s="4">
        <v>45999.0</v>
      </c>
      <c r="B74" s="5" t="s">
        <v>502</v>
      </c>
      <c r="C74" s="6">
        <v>36.98</v>
      </c>
      <c r="D74" s="5" t="s">
        <v>49</v>
      </c>
      <c r="K74" s="3"/>
    </row>
    <row r="75">
      <c r="A75" s="4">
        <v>45999.0</v>
      </c>
      <c r="B75" s="5" t="s">
        <v>503</v>
      </c>
      <c r="C75" s="6">
        <v>94.0</v>
      </c>
      <c r="D75" s="5" t="s">
        <v>438</v>
      </c>
      <c r="K75" s="3"/>
    </row>
    <row r="76">
      <c r="A76" s="4">
        <v>46000.0</v>
      </c>
      <c r="B76" s="5" t="s">
        <v>504</v>
      </c>
      <c r="C76" s="6">
        <v>111.79</v>
      </c>
      <c r="D76" s="5" t="s">
        <v>13</v>
      </c>
      <c r="K76" s="3"/>
    </row>
    <row r="77">
      <c r="A77" s="4">
        <v>46000.0</v>
      </c>
      <c r="B77" s="5" t="s">
        <v>505</v>
      </c>
      <c r="C77" s="6">
        <v>45.9</v>
      </c>
      <c r="D77" s="5" t="s">
        <v>149</v>
      </c>
      <c r="K77" s="3"/>
    </row>
    <row r="78">
      <c r="A78" s="4">
        <v>46000.0</v>
      </c>
      <c r="B78" s="5" t="s">
        <v>506</v>
      </c>
      <c r="C78" s="6">
        <v>55.98</v>
      </c>
      <c r="D78" s="5" t="s">
        <v>149</v>
      </c>
      <c r="K78" s="3"/>
    </row>
    <row r="79">
      <c r="A79" s="4">
        <v>46000.0</v>
      </c>
      <c r="B79" s="5" t="s">
        <v>507</v>
      </c>
      <c r="C79" s="6">
        <v>77.25</v>
      </c>
      <c r="D79" s="5" t="s">
        <v>508</v>
      </c>
      <c r="K79" s="3"/>
    </row>
    <row r="80">
      <c r="A80" s="4">
        <v>46001.0</v>
      </c>
      <c r="B80" s="5" t="s">
        <v>509</v>
      </c>
      <c r="C80" s="6">
        <v>49.8</v>
      </c>
      <c r="D80" s="5" t="s">
        <v>13</v>
      </c>
      <c r="K80" s="3"/>
    </row>
    <row r="81">
      <c r="A81" s="4">
        <v>46001.0</v>
      </c>
      <c r="B81" s="5" t="s">
        <v>45</v>
      </c>
      <c r="C81" s="6">
        <v>28.0</v>
      </c>
      <c r="D81" s="5" t="s">
        <v>31</v>
      </c>
      <c r="K81" s="3"/>
    </row>
    <row r="82">
      <c r="A82" s="4">
        <v>46001.0</v>
      </c>
      <c r="B82" s="5" t="s">
        <v>510</v>
      </c>
      <c r="C82" s="6">
        <v>39.98</v>
      </c>
      <c r="D82" s="5" t="s">
        <v>183</v>
      </c>
      <c r="K82" s="3"/>
    </row>
    <row r="83">
      <c r="A83" s="4">
        <v>46002.0</v>
      </c>
      <c r="B83" s="5" t="s">
        <v>511</v>
      </c>
      <c r="C83" s="6">
        <v>6.49</v>
      </c>
      <c r="D83" s="5" t="s">
        <v>31</v>
      </c>
      <c r="K83" s="3"/>
    </row>
    <row r="84">
      <c r="A84" s="4">
        <v>46002.0</v>
      </c>
      <c r="B84" s="5" t="s">
        <v>512</v>
      </c>
      <c r="C84" s="6">
        <v>13.54</v>
      </c>
      <c r="D84" s="5" t="s">
        <v>31</v>
      </c>
      <c r="K84" s="3"/>
    </row>
    <row r="85">
      <c r="A85" s="4">
        <v>46002.0</v>
      </c>
      <c r="B85" s="5" t="s">
        <v>119</v>
      </c>
      <c r="C85" s="6">
        <v>60.0</v>
      </c>
      <c r="D85" s="5" t="s">
        <v>67</v>
      </c>
      <c r="K85" s="3"/>
    </row>
    <row r="86">
      <c r="A86" s="4">
        <v>46002.0</v>
      </c>
      <c r="B86" s="5" t="s">
        <v>119</v>
      </c>
      <c r="C86" s="6">
        <v>89.9</v>
      </c>
      <c r="D86" s="5" t="s">
        <v>13</v>
      </c>
      <c r="K86" s="3"/>
    </row>
    <row r="87">
      <c r="A87" s="4">
        <v>46003.0</v>
      </c>
      <c r="B87" s="5" t="s">
        <v>513</v>
      </c>
      <c r="C87" s="6">
        <v>36.5</v>
      </c>
      <c r="D87" s="5" t="s">
        <v>13</v>
      </c>
      <c r="K87" s="3"/>
    </row>
    <row r="88">
      <c r="A88" s="4">
        <v>46003.0</v>
      </c>
      <c r="B88" s="5" t="s">
        <v>123</v>
      </c>
      <c r="C88" s="6">
        <v>9.99</v>
      </c>
      <c r="D88" s="5" t="s">
        <v>67</v>
      </c>
      <c r="K88" s="3"/>
    </row>
    <row r="89">
      <c r="A89" s="4">
        <v>46003.0</v>
      </c>
      <c r="B89" s="5" t="s">
        <v>514</v>
      </c>
      <c r="C89" s="6">
        <v>15.52</v>
      </c>
      <c r="D89" s="5" t="s">
        <v>31</v>
      </c>
      <c r="K89" s="3"/>
    </row>
    <row r="90">
      <c r="A90" s="4">
        <v>46004.0</v>
      </c>
      <c r="B90" s="5" t="s">
        <v>515</v>
      </c>
      <c r="C90" s="6">
        <v>69.29</v>
      </c>
      <c r="D90" s="5" t="s">
        <v>516</v>
      </c>
      <c r="K90" s="3"/>
    </row>
    <row r="91">
      <c r="A91" s="4">
        <v>46004.0</v>
      </c>
      <c r="B91" s="5" t="s">
        <v>216</v>
      </c>
      <c r="C91" s="6">
        <v>51.88</v>
      </c>
      <c r="D91" s="5" t="s">
        <v>132</v>
      </c>
      <c r="K91" s="3"/>
    </row>
    <row r="92">
      <c r="A92" s="4">
        <v>46004.0</v>
      </c>
      <c r="B92" s="5" t="s">
        <v>517</v>
      </c>
      <c r="C92" s="6">
        <v>41.31</v>
      </c>
      <c r="D92" s="5" t="s">
        <v>149</v>
      </c>
      <c r="K92" s="3"/>
    </row>
    <row r="93">
      <c r="A93" s="4">
        <v>46004.0</v>
      </c>
      <c r="B93" s="5" t="s">
        <v>518</v>
      </c>
      <c r="C93" s="6">
        <v>69.29</v>
      </c>
      <c r="D93" s="5" t="s">
        <v>516</v>
      </c>
      <c r="K93" s="3"/>
    </row>
    <row r="94">
      <c r="A94" s="4">
        <v>46005.0</v>
      </c>
      <c r="B94" s="5" t="s">
        <v>519</v>
      </c>
      <c r="C94" s="6">
        <v>39.12</v>
      </c>
      <c r="D94" s="5" t="s">
        <v>149</v>
      </c>
      <c r="K94" s="3"/>
    </row>
    <row r="95">
      <c r="A95" s="4">
        <v>46005.0</v>
      </c>
      <c r="B95" s="5" t="s">
        <v>117</v>
      </c>
      <c r="C95" s="6">
        <v>55.75</v>
      </c>
      <c r="D95" s="5" t="s">
        <v>149</v>
      </c>
      <c r="K95" s="3"/>
    </row>
    <row r="96">
      <c r="A96" s="4">
        <v>46005.0</v>
      </c>
      <c r="B96" s="5" t="s">
        <v>414</v>
      </c>
      <c r="C96" s="6">
        <v>22.0</v>
      </c>
      <c r="D96" s="5" t="s">
        <v>245</v>
      </c>
      <c r="K96" s="3"/>
    </row>
    <row r="97">
      <c r="A97" s="4">
        <v>46006.0</v>
      </c>
      <c r="B97" s="5" t="s">
        <v>520</v>
      </c>
      <c r="C97" s="6">
        <v>30.0</v>
      </c>
      <c r="D97" s="5" t="s">
        <v>16</v>
      </c>
      <c r="K97" s="3"/>
    </row>
    <row r="98">
      <c r="A98" s="4">
        <v>46006.0</v>
      </c>
      <c r="B98" s="5" t="s">
        <v>381</v>
      </c>
      <c r="C98" s="6">
        <v>42.0</v>
      </c>
      <c r="D98" s="5" t="s">
        <v>13</v>
      </c>
      <c r="K98" s="3"/>
    </row>
    <row r="99">
      <c r="A99" s="4">
        <v>46006.0</v>
      </c>
      <c r="B99" s="5" t="s">
        <v>45</v>
      </c>
      <c r="C99" s="6">
        <v>82.29</v>
      </c>
      <c r="D99" s="5" t="s">
        <v>31</v>
      </c>
      <c r="K99" s="3"/>
    </row>
    <row r="100">
      <c r="A100" s="4">
        <v>46006.0</v>
      </c>
      <c r="B100" s="5" t="s">
        <v>379</v>
      </c>
      <c r="C100" s="6">
        <v>100.0</v>
      </c>
      <c r="D100" s="5" t="s">
        <v>13</v>
      </c>
      <c r="K100" s="3"/>
    </row>
    <row r="101">
      <c r="A101" s="4">
        <v>46007.0</v>
      </c>
      <c r="B101" s="5" t="s">
        <v>379</v>
      </c>
      <c r="C101" s="6">
        <v>100.0</v>
      </c>
      <c r="D101" s="5" t="s">
        <v>16</v>
      </c>
      <c r="K101" s="3"/>
    </row>
    <row r="102">
      <c r="A102" s="4">
        <v>46007.0</v>
      </c>
      <c r="B102" s="5" t="s">
        <v>521</v>
      </c>
      <c r="C102" s="6">
        <v>20.0</v>
      </c>
      <c r="D102" s="5" t="s">
        <v>16</v>
      </c>
      <c r="K102" s="3"/>
    </row>
    <row r="103">
      <c r="A103" s="4">
        <v>46007.0</v>
      </c>
      <c r="B103" s="5" t="s">
        <v>502</v>
      </c>
      <c r="C103" s="6">
        <v>31.94</v>
      </c>
      <c r="D103" s="5" t="s">
        <v>291</v>
      </c>
      <c r="K103" s="3"/>
    </row>
    <row r="104">
      <c r="A104" s="4">
        <v>46007.0</v>
      </c>
      <c r="B104" s="5" t="s">
        <v>40</v>
      </c>
      <c r="C104" s="6">
        <v>66.0</v>
      </c>
      <c r="D104" s="5" t="s">
        <v>31</v>
      </c>
      <c r="K104" s="3"/>
    </row>
    <row r="105">
      <c r="A105" s="4">
        <v>46008.0</v>
      </c>
      <c r="B105" s="5" t="s">
        <v>279</v>
      </c>
      <c r="C105" s="6">
        <v>48.48</v>
      </c>
      <c r="D105" s="5" t="s">
        <v>31</v>
      </c>
      <c r="K105" s="3"/>
    </row>
    <row r="106">
      <c r="A106" s="4">
        <v>46008.0</v>
      </c>
      <c r="B106" s="5" t="s">
        <v>397</v>
      </c>
      <c r="C106" s="6">
        <v>65.9</v>
      </c>
      <c r="D106" s="5" t="s">
        <v>438</v>
      </c>
      <c r="K106" s="3"/>
    </row>
    <row r="107">
      <c r="A107" s="4">
        <v>46009.0</v>
      </c>
      <c r="B107" s="5" t="s">
        <v>522</v>
      </c>
      <c r="C107" s="6">
        <v>7.0</v>
      </c>
      <c r="D107" s="5" t="s">
        <v>149</v>
      </c>
      <c r="K107" s="3"/>
    </row>
    <row r="108">
      <c r="A108" s="4">
        <v>46009.0</v>
      </c>
      <c r="B108" s="5" t="s">
        <v>523</v>
      </c>
      <c r="C108" s="6">
        <v>90.0</v>
      </c>
      <c r="D108" s="5" t="s">
        <v>13</v>
      </c>
      <c r="K108" s="3"/>
    </row>
    <row r="109">
      <c r="A109" s="4">
        <v>46009.0</v>
      </c>
      <c r="B109" s="5" t="s">
        <v>522</v>
      </c>
      <c r="C109" s="6">
        <v>1.0</v>
      </c>
      <c r="D109" s="5" t="s">
        <v>149</v>
      </c>
      <c r="K109" s="3"/>
    </row>
    <row r="110">
      <c r="A110" s="4">
        <v>46009.0</v>
      </c>
      <c r="B110" s="5" t="s">
        <v>244</v>
      </c>
      <c r="C110" s="6">
        <v>78.0</v>
      </c>
      <c r="D110" s="5" t="s">
        <v>245</v>
      </c>
      <c r="K110" s="3"/>
    </row>
    <row r="111">
      <c r="A111" s="4">
        <v>46010.0</v>
      </c>
      <c r="B111" s="5" t="s">
        <v>524</v>
      </c>
      <c r="C111" s="6">
        <v>133.95</v>
      </c>
      <c r="D111" s="5" t="s">
        <v>13</v>
      </c>
      <c r="K111" s="3"/>
    </row>
    <row r="112">
      <c r="A112" s="4">
        <v>46010.0</v>
      </c>
      <c r="B112" s="5" t="s">
        <v>525</v>
      </c>
      <c r="C112" s="6">
        <v>6.8</v>
      </c>
      <c r="D112" s="5" t="s">
        <v>49</v>
      </c>
      <c r="K112" s="3"/>
    </row>
    <row r="113">
      <c r="A113" s="4">
        <v>46010.0</v>
      </c>
      <c r="B113" s="5" t="s">
        <v>526</v>
      </c>
      <c r="C113" s="6">
        <v>12.0</v>
      </c>
      <c r="D113" s="5" t="s">
        <v>13</v>
      </c>
      <c r="K113" s="3"/>
    </row>
    <row r="114">
      <c r="A114" s="4">
        <v>46010.0</v>
      </c>
      <c r="B114" s="5" t="s">
        <v>527</v>
      </c>
      <c r="C114" s="6">
        <v>36.0</v>
      </c>
      <c r="D114" s="5" t="s">
        <v>528</v>
      </c>
      <c r="K114" s="3"/>
    </row>
    <row r="115">
      <c r="A115" s="4">
        <v>46011.0</v>
      </c>
      <c r="B115" s="5" t="s">
        <v>251</v>
      </c>
      <c r="C115" s="6">
        <v>22.99</v>
      </c>
      <c r="D115" s="5" t="s">
        <v>149</v>
      </c>
      <c r="K115" s="3"/>
    </row>
    <row r="116">
      <c r="A116" s="4">
        <v>46011.0</v>
      </c>
      <c r="B116" s="5" t="s">
        <v>529</v>
      </c>
      <c r="C116" s="6">
        <v>21.9</v>
      </c>
      <c r="D116" s="5" t="s">
        <v>149</v>
      </c>
      <c r="K116" s="3"/>
    </row>
    <row r="117">
      <c r="A117" s="4">
        <v>46011.0</v>
      </c>
      <c r="B117" s="5" t="s">
        <v>530</v>
      </c>
      <c r="C117" s="6">
        <v>76.34</v>
      </c>
      <c r="D117" s="5" t="s">
        <v>49</v>
      </c>
      <c r="K117" s="3"/>
    </row>
    <row r="118">
      <c r="A118" s="4">
        <v>46012.0</v>
      </c>
      <c r="B118" s="5" t="s">
        <v>216</v>
      </c>
      <c r="C118" s="6">
        <v>38.98</v>
      </c>
      <c r="D118" s="5" t="s">
        <v>136</v>
      </c>
      <c r="K118" s="3"/>
    </row>
    <row r="119">
      <c r="A119" s="4">
        <v>46012.0</v>
      </c>
      <c r="B119" s="5" t="s">
        <v>531</v>
      </c>
      <c r="C119" s="6">
        <v>85.59</v>
      </c>
      <c r="D119" s="5" t="s">
        <v>149</v>
      </c>
      <c r="K119" s="3"/>
    </row>
    <row r="120">
      <c r="A120" s="4">
        <v>46014.0</v>
      </c>
      <c r="B120" s="5" t="s">
        <v>532</v>
      </c>
      <c r="C120" s="6">
        <v>34.0</v>
      </c>
      <c r="D120" s="5" t="s">
        <v>291</v>
      </c>
      <c r="K120" s="3"/>
    </row>
    <row r="121">
      <c r="A121" s="4">
        <v>46014.0</v>
      </c>
      <c r="B121" s="5" t="s">
        <v>120</v>
      </c>
      <c r="C121" s="6">
        <v>75.0</v>
      </c>
      <c r="D121" s="5" t="s">
        <v>49</v>
      </c>
      <c r="K121" s="3"/>
    </row>
    <row r="122">
      <c r="A122" s="4">
        <v>46014.0</v>
      </c>
      <c r="B122" s="5" t="s">
        <v>533</v>
      </c>
      <c r="C122" s="6">
        <v>90.0</v>
      </c>
      <c r="D122" s="5" t="s">
        <v>13</v>
      </c>
      <c r="K122" s="3"/>
    </row>
    <row r="123">
      <c r="A123" s="4">
        <v>46014.0</v>
      </c>
      <c r="B123" s="5" t="s">
        <v>534</v>
      </c>
      <c r="C123" s="6">
        <v>50.0</v>
      </c>
      <c r="D123" s="5" t="s">
        <v>49</v>
      </c>
      <c r="K123" s="3"/>
    </row>
    <row r="124">
      <c r="A124" s="4">
        <v>46015.0</v>
      </c>
      <c r="B124" s="5" t="s">
        <v>535</v>
      </c>
      <c r="C124" s="6">
        <v>7.5</v>
      </c>
      <c r="D124" s="5" t="s">
        <v>149</v>
      </c>
      <c r="K124" s="3"/>
    </row>
    <row r="125">
      <c r="A125" s="4">
        <v>46015.0</v>
      </c>
      <c r="B125" s="5" t="s">
        <v>536</v>
      </c>
      <c r="C125" s="6">
        <v>96.65</v>
      </c>
      <c r="D125" s="5" t="s">
        <v>16</v>
      </c>
      <c r="K125" s="3"/>
    </row>
    <row r="126">
      <c r="A126" s="4">
        <v>46015.0</v>
      </c>
      <c r="B126" s="5" t="s">
        <v>534</v>
      </c>
      <c r="C126" s="6">
        <v>50.0</v>
      </c>
      <c r="D126" s="5" t="s">
        <v>16</v>
      </c>
      <c r="K126" s="3"/>
    </row>
    <row r="127">
      <c r="A127" s="4">
        <v>46015.0</v>
      </c>
      <c r="B127" s="5" t="s">
        <v>537</v>
      </c>
      <c r="C127" s="6">
        <v>143.34</v>
      </c>
      <c r="D127" s="5" t="s">
        <v>16</v>
      </c>
      <c r="K127" s="3"/>
    </row>
    <row r="128">
      <c r="A128" s="4">
        <v>46015.0</v>
      </c>
      <c r="B128" s="5" t="s">
        <v>268</v>
      </c>
      <c r="C128" s="6">
        <v>100.0</v>
      </c>
      <c r="D128" s="5" t="s">
        <v>16</v>
      </c>
      <c r="K128" s="3"/>
    </row>
    <row r="129">
      <c r="A129" s="4">
        <v>46015.0</v>
      </c>
      <c r="B129" s="5" t="s">
        <v>84</v>
      </c>
      <c r="C129" s="6">
        <v>49.98</v>
      </c>
      <c r="D129" s="5" t="s">
        <v>16</v>
      </c>
      <c r="K129" s="3"/>
    </row>
    <row r="130">
      <c r="A130" s="4">
        <v>45994.0</v>
      </c>
      <c r="B130" s="5" t="s">
        <v>538</v>
      </c>
      <c r="C130" s="6">
        <v>112.6</v>
      </c>
      <c r="D130" s="5" t="s">
        <v>539</v>
      </c>
      <c r="K130" s="3"/>
    </row>
    <row r="131">
      <c r="A131" s="27"/>
      <c r="C131" s="22"/>
      <c r="K131" s="3"/>
    </row>
    <row r="132">
      <c r="A132" s="27"/>
      <c r="C132" s="22"/>
      <c r="K132" s="3"/>
    </row>
    <row r="133">
      <c r="A133" s="27"/>
      <c r="C133" s="22"/>
      <c r="K133" s="3"/>
    </row>
    <row r="134">
      <c r="A134" s="27"/>
      <c r="C134" s="22"/>
      <c r="K134" s="3"/>
    </row>
    <row r="135">
      <c r="A135" s="27"/>
      <c r="C135" s="22"/>
      <c r="K135" s="3"/>
    </row>
    <row r="136">
      <c r="A136" s="27"/>
      <c r="C136" s="22"/>
      <c r="K136" s="3"/>
    </row>
    <row r="137">
      <c r="A137" s="27"/>
      <c r="C137" s="22"/>
      <c r="K137" s="3"/>
    </row>
    <row r="138">
      <c r="A138" s="27"/>
      <c r="C138" s="22"/>
      <c r="K138" s="3"/>
    </row>
    <row r="139">
      <c r="A139" s="27"/>
      <c r="C139" s="22"/>
      <c r="K139" s="3"/>
    </row>
    <row r="140">
      <c r="A140" s="27"/>
      <c r="C140" s="22"/>
      <c r="K140" s="3"/>
    </row>
    <row r="141">
      <c r="A141" s="27"/>
      <c r="C141" s="22"/>
      <c r="K141" s="3"/>
    </row>
    <row r="142">
      <c r="A142" s="27"/>
      <c r="C142" s="22"/>
      <c r="K142" s="3"/>
    </row>
    <row r="143">
      <c r="A143" s="27"/>
      <c r="C143" s="22"/>
      <c r="K143" s="3"/>
    </row>
    <row r="144">
      <c r="A144" s="27"/>
      <c r="C144" s="22"/>
      <c r="K144" s="3"/>
    </row>
    <row r="145">
      <c r="A145" s="27"/>
      <c r="C145" s="22"/>
      <c r="K145" s="3"/>
    </row>
    <row r="146">
      <c r="A146" s="27"/>
      <c r="C146" s="22"/>
      <c r="K146" s="3"/>
    </row>
    <row r="147">
      <c r="A147" s="27"/>
      <c r="C147" s="22"/>
      <c r="K147" s="3"/>
    </row>
    <row r="148">
      <c r="A148" s="27"/>
      <c r="C148" s="22"/>
      <c r="K148" s="3"/>
    </row>
    <row r="149">
      <c r="A149" s="27"/>
      <c r="C149" s="22"/>
      <c r="K149" s="3"/>
    </row>
    <row r="150">
      <c r="A150" s="27"/>
      <c r="C150" s="22"/>
      <c r="K150" s="3"/>
    </row>
    <row r="151">
      <c r="A151" s="27"/>
      <c r="C151" s="22"/>
      <c r="K151" s="3"/>
    </row>
    <row r="152">
      <c r="A152" s="27"/>
      <c r="C152" s="22"/>
      <c r="K152" s="3"/>
    </row>
    <row r="153">
      <c r="A153" s="27"/>
      <c r="C153" s="22"/>
      <c r="K153" s="3"/>
    </row>
    <row r="154">
      <c r="A154" s="27"/>
      <c r="C154" s="22"/>
      <c r="K154" s="3"/>
    </row>
    <row r="155">
      <c r="A155" s="27"/>
      <c r="C155" s="22"/>
      <c r="K155" s="3"/>
    </row>
    <row r="156">
      <c r="A156" s="27"/>
      <c r="C156" s="22"/>
      <c r="K156" s="3"/>
    </row>
    <row r="157">
      <c r="A157" s="27"/>
      <c r="C157" s="22"/>
      <c r="K157" s="3"/>
    </row>
    <row r="158">
      <c r="A158" s="27"/>
      <c r="C158" s="22"/>
      <c r="K158" s="3"/>
    </row>
    <row r="159">
      <c r="A159" s="27"/>
      <c r="C159" s="22"/>
      <c r="K159" s="3"/>
    </row>
    <row r="160">
      <c r="A160" s="27"/>
      <c r="C160" s="22"/>
      <c r="K160" s="3"/>
    </row>
    <row r="161">
      <c r="A161" s="27"/>
      <c r="C161" s="22"/>
      <c r="K161" s="3"/>
    </row>
    <row r="162">
      <c r="A162" s="27"/>
      <c r="C162" s="22"/>
      <c r="K162" s="3"/>
    </row>
    <row r="163">
      <c r="A163" s="27"/>
      <c r="C163" s="22"/>
      <c r="K163" s="3"/>
    </row>
    <row r="164">
      <c r="A164" s="27"/>
      <c r="C164" s="22"/>
      <c r="K164" s="3"/>
    </row>
    <row r="165">
      <c r="A165" s="27"/>
      <c r="C165" s="22"/>
      <c r="K165" s="3"/>
    </row>
    <row r="166">
      <c r="A166" s="27"/>
      <c r="C166" s="22"/>
      <c r="K166" s="3"/>
    </row>
    <row r="167">
      <c r="A167" s="27"/>
      <c r="C167" s="22"/>
      <c r="K167" s="3"/>
    </row>
    <row r="168">
      <c r="A168" s="27"/>
      <c r="C168" s="22"/>
      <c r="K168" s="3"/>
    </row>
    <row r="169">
      <c r="A169" s="27"/>
      <c r="C169" s="22"/>
      <c r="K169" s="3"/>
    </row>
    <row r="170">
      <c r="A170" s="27"/>
      <c r="C170" s="22"/>
      <c r="K170" s="3"/>
    </row>
    <row r="171">
      <c r="A171" s="27"/>
      <c r="C171" s="22"/>
      <c r="K171" s="3"/>
    </row>
    <row r="172">
      <c r="A172" s="27"/>
      <c r="C172" s="22"/>
      <c r="K172" s="3"/>
    </row>
    <row r="173">
      <c r="A173" s="27"/>
      <c r="C173" s="22"/>
      <c r="K173" s="3"/>
    </row>
    <row r="174">
      <c r="A174" s="27"/>
      <c r="C174" s="22"/>
      <c r="K174" s="3"/>
    </row>
    <row r="175">
      <c r="A175" s="27"/>
      <c r="C175" s="22"/>
      <c r="K175" s="3"/>
    </row>
    <row r="176">
      <c r="A176" s="27"/>
      <c r="C176" s="22"/>
      <c r="K176" s="3"/>
    </row>
    <row r="177">
      <c r="A177" s="27"/>
      <c r="C177" s="22"/>
      <c r="K177" s="3"/>
    </row>
    <row r="178">
      <c r="A178" s="27"/>
      <c r="C178" s="22"/>
      <c r="K178" s="3"/>
    </row>
    <row r="179">
      <c r="A179" s="27"/>
      <c r="C179" s="22"/>
      <c r="K179" s="3"/>
    </row>
    <row r="180">
      <c r="A180" s="27"/>
      <c r="C180" s="22"/>
      <c r="K180" s="3"/>
    </row>
    <row r="181">
      <c r="A181" s="27"/>
      <c r="C181" s="22"/>
      <c r="K181" s="3"/>
    </row>
    <row r="182">
      <c r="A182" s="27"/>
      <c r="C182" s="22"/>
      <c r="K182" s="3"/>
    </row>
    <row r="183">
      <c r="A183" s="27"/>
      <c r="C183" s="22"/>
      <c r="K183" s="3"/>
    </row>
    <row r="184">
      <c r="A184" s="27"/>
      <c r="C184" s="22"/>
      <c r="K184" s="3"/>
    </row>
    <row r="185">
      <c r="A185" s="27"/>
      <c r="C185" s="22"/>
      <c r="K185" s="3"/>
    </row>
    <row r="186">
      <c r="A186" s="27"/>
      <c r="C186" s="22"/>
      <c r="K186" s="3"/>
    </row>
    <row r="187">
      <c r="A187" s="27"/>
      <c r="C187" s="22"/>
      <c r="K187" s="3"/>
    </row>
    <row r="188">
      <c r="A188" s="27"/>
      <c r="C188" s="22"/>
      <c r="K188" s="3"/>
    </row>
    <row r="189">
      <c r="A189" s="27"/>
      <c r="C189" s="22"/>
      <c r="K189" s="3"/>
    </row>
    <row r="190">
      <c r="A190" s="27"/>
      <c r="C190" s="22"/>
      <c r="K190" s="3"/>
    </row>
    <row r="191">
      <c r="A191" s="27"/>
      <c r="C191" s="22"/>
      <c r="K191" s="3"/>
    </row>
    <row r="192">
      <c r="A192" s="27"/>
      <c r="C192" s="22"/>
      <c r="K192" s="3"/>
    </row>
    <row r="193">
      <c r="A193" s="27"/>
      <c r="C193" s="22"/>
      <c r="K193" s="3"/>
    </row>
    <row r="194">
      <c r="A194" s="27"/>
      <c r="C194" s="22"/>
      <c r="K194" s="3"/>
    </row>
    <row r="195">
      <c r="A195" s="27"/>
      <c r="C195" s="22"/>
      <c r="K195" s="3"/>
    </row>
    <row r="196">
      <c r="A196" s="27"/>
      <c r="C196" s="22"/>
      <c r="K196" s="3"/>
    </row>
    <row r="197">
      <c r="A197" s="27"/>
      <c r="C197" s="22"/>
      <c r="K197" s="3"/>
    </row>
    <row r="198">
      <c r="A198" s="27"/>
      <c r="C198" s="22"/>
      <c r="K198" s="3"/>
    </row>
    <row r="199">
      <c r="A199" s="27"/>
      <c r="C199" s="22"/>
      <c r="K199" s="3"/>
    </row>
    <row r="200">
      <c r="A200" s="27"/>
      <c r="C200" s="22"/>
      <c r="K200" s="3"/>
    </row>
    <row r="201">
      <c r="A201" s="27"/>
      <c r="C201" s="22"/>
      <c r="K201" s="3"/>
    </row>
    <row r="202">
      <c r="A202" s="27"/>
      <c r="C202" s="22"/>
      <c r="K202" s="3"/>
    </row>
    <row r="203">
      <c r="A203" s="27"/>
      <c r="C203" s="22"/>
      <c r="K203" s="3"/>
    </row>
    <row r="204">
      <c r="A204" s="27"/>
      <c r="C204" s="22"/>
      <c r="K204" s="3"/>
    </row>
    <row r="205">
      <c r="A205" s="27"/>
      <c r="C205" s="22"/>
      <c r="K205" s="3"/>
    </row>
    <row r="206">
      <c r="A206" s="27"/>
      <c r="C206" s="22"/>
      <c r="K206" s="3"/>
    </row>
    <row r="207">
      <c r="A207" s="27"/>
      <c r="C207" s="22"/>
      <c r="K207" s="3"/>
    </row>
    <row r="208">
      <c r="A208" s="27"/>
      <c r="C208" s="22"/>
      <c r="K208" s="3"/>
    </row>
    <row r="209">
      <c r="A209" s="27"/>
      <c r="C209" s="22"/>
      <c r="K209" s="3"/>
    </row>
    <row r="210">
      <c r="A210" s="27"/>
      <c r="C210" s="22"/>
      <c r="K210" s="3"/>
    </row>
    <row r="211">
      <c r="A211" s="27"/>
      <c r="C211" s="22"/>
      <c r="K211" s="3"/>
    </row>
    <row r="212">
      <c r="A212" s="27"/>
      <c r="C212" s="22"/>
      <c r="K212" s="3"/>
    </row>
    <row r="213">
      <c r="A213" s="27"/>
      <c r="C213" s="22"/>
      <c r="K213" s="3"/>
    </row>
    <row r="214">
      <c r="A214" s="27"/>
      <c r="C214" s="22"/>
      <c r="K214" s="3"/>
    </row>
    <row r="215">
      <c r="A215" s="27"/>
      <c r="C215" s="22"/>
      <c r="K215" s="3"/>
    </row>
    <row r="216">
      <c r="A216" s="27"/>
      <c r="C216" s="22"/>
      <c r="K216" s="3"/>
    </row>
    <row r="217">
      <c r="A217" s="27"/>
      <c r="C217" s="22"/>
      <c r="K217" s="3"/>
    </row>
    <row r="218">
      <c r="A218" s="27"/>
      <c r="C218" s="22"/>
      <c r="K218" s="3"/>
    </row>
    <row r="219">
      <c r="A219" s="27"/>
      <c r="C219" s="22"/>
      <c r="K219" s="3"/>
    </row>
    <row r="220">
      <c r="A220" s="27"/>
      <c r="C220" s="22"/>
      <c r="K220" s="3"/>
    </row>
    <row r="221">
      <c r="A221" s="27"/>
      <c r="C221" s="22"/>
      <c r="K221" s="3"/>
    </row>
    <row r="222">
      <c r="A222" s="27"/>
      <c r="C222" s="22"/>
      <c r="K222" s="3"/>
    </row>
    <row r="223">
      <c r="A223" s="27"/>
      <c r="C223" s="22"/>
      <c r="K223" s="3"/>
    </row>
    <row r="224">
      <c r="A224" s="27"/>
      <c r="C224" s="22"/>
      <c r="K224" s="3"/>
    </row>
    <row r="225">
      <c r="A225" s="27"/>
      <c r="C225" s="22"/>
      <c r="K225" s="3"/>
    </row>
    <row r="226">
      <c r="A226" s="27"/>
      <c r="C226" s="22"/>
      <c r="K226" s="3"/>
    </row>
    <row r="227">
      <c r="A227" s="27"/>
      <c r="C227" s="22"/>
      <c r="K227" s="3"/>
    </row>
    <row r="228">
      <c r="A228" s="27"/>
      <c r="C228" s="22"/>
      <c r="K228" s="3"/>
    </row>
    <row r="229">
      <c r="A229" s="27"/>
      <c r="C229" s="22"/>
      <c r="K229" s="3"/>
    </row>
    <row r="230">
      <c r="A230" s="27"/>
      <c r="C230" s="22"/>
      <c r="K230" s="3"/>
    </row>
    <row r="231">
      <c r="A231" s="27"/>
      <c r="C231" s="22"/>
      <c r="K231" s="3"/>
    </row>
    <row r="232">
      <c r="A232" s="27"/>
      <c r="C232" s="22"/>
      <c r="K232" s="3"/>
    </row>
    <row r="233">
      <c r="A233" s="27"/>
      <c r="C233" s="22"/>
      <c r="K233" s="3"/>
    </row>
    <row r="234">
      <c r="A234" s="27"/>
      <c r="C234" s="22"/>
      <c r="K234" s="3"/>
    </row>
    <row r="235">
      <c r="A235" s="27"/>
      <c r="C235" s="22"/>
      <c r="K235" s="3"/>
    </row>
    <row r="236">
      <c r="A236" s="27"/>
      <c r="C236" s="22"/>
      <c r="K236" s="3"/>
    </row>
    <row r="237">
      <c r="A237" s="27"/>
      <c r="C237" s="22"/>
      <c r="K237" s="3"/>
    </row>
    <row r="238">
      <c r="A238" s="27"/>
      <c r="C238" s="22"/>
      <c r="K238" s="3"/>
    </row>
    <row r="239">
      <c r="A239" s="27"/>
      <c r="C239" s="22"/>
      <c r="K239" s="3"/>
    </row>
    <row r="240">
      <c r="A240" s="27"/>
      <c r="C240" s="22"/>
      <c r="K240" s="3"/>
    </row>
    <row r="241">
      <c r="A241" s="27"/>
      <c r="C241" s="22"/>
      <c r="K241" s="3"/>
    </row>
    <row r="242">
      <c r="A242" s="27"/>
      <c r="C242" s="22"/>
      <c r="K242" s="3"/>
    </row>
    <row r="243">
      <c r="A243" s="27"/>
      <c r="C243" s="22"/>
      <c r="K243" s="3"/>
    </row>
    <row r="244">
      <c r="A244" s="27"/>
      <c r="C244" s="22"/>
      <c r="K244" s="3"/>
    </row>
    <row r="245">
      <c r="A245" s="27"/>
      <c r="C245" s="22"/>
      <c r="K245" s="3"/>
    </row>
    <row r="246">
      <c r="A246" s="27"/>
      <c r="C246" s="22"/>
      <c r="K246" s="3"/>
    </row>
    <row r="247">
      <c r="A247" s="27"/>
      <c r="C247" s="22"/>
      <c r="K247" s="3"/>
    </row>
    <row r="248">
      <c r="A248" s="27"/>
      <c r="C248" s="22"/>
      <c r="K248" s="3"/>
    </row>
    <row r="249">
      <c r="A249" s="27"/>
      <c r="C249" s="22"/>
      <c r="K249" s="3"/>
    </row>
    <row r="250">
      <c r="A250" s="27"/>
      <c r="C250" s="22"/>
      <c r="K250" s="3"/>
    </row>
    <row r="251">
      <c r="A251" s="27"/>
      <c r="C251" s="22"/>
      <c r="K251" s="3"/>
    </row>
    <row r="252">
      <c r="A252" s="27"/>
      <c r="C252" s="22"/>
      <c r="K252" s="3"/>
    </row>
    <row r="253">
      <c r="A253" s="27"/>
      <c r="C253" s="22"/>
      <c r="K253" s="3"/>
    </row>
    <row r="254">
      <c r="A254" s="27"/>
      <c r="C254" s="22"/>
      <c r="K254" s="3"/>
    </row>
    <row r="255">
      <c r="A255" s="27"/>
      <c r="C255" s="22"/>
      <c r="K255" s="3"/>
    </row>
    <row r="256">
      <c r="A256" s="27"/>
      <c r="C256" s="22"/>
      <c r="K256" s="3"/>
    </row>
    <row r="257">
      <c r="A257" s="27"/>
      <c r="C257" s="22"/>
      <c r="K257" s="3"/>
    </row>
    <row r="258">
      <c r="A258" s="27"/>
      <c r="C258" s="22"/>
      <c r="K258" s="3"/>
    </row>
    <row r="259">
      <c r="A259" s="27"/>
      <c r="C259" s="22"/>
      <c r="K259" s="3"/>
    </row>
    <row r="260">
      <c r="A260" s="27"/>
      <c r="C260" s="22"/>
      <c r="K260" s="3"/>
    </row>
    <row r="261">
      <c r="A261" s="27"/>
      <c r="C261" s="22"/>
      <c r="K261" s="3"/>
    </row>
    <row r="262">
      <c r="A262" s="27"/>
      <c r="C262" s="22"/>
      <c r="K262" s="3"/>
    </row>
    <row r="263">
      <c r="A263" s="27"/>
      <c r="C263" s="22"/>
      <c r="K263" s="3"/>
    </row>
    <row r="264">
      <c r="A264" s="27"/>
      <c r="C264" s="22"/>
      <c r="K264" s="3"/>
    </row>
    <row r="265">
      <c r="A265" s="27"/>
      <c r="C265" s="22"/>
      <c r="K265" s="3"/>
    </row>
    <row r="266">
      <c r="A266" s="27"/>
      <c r="C266" s="22"/>
      <c r="K266" s="3"/>
    </row>
    <row r="267">
      <c r="A267" s="27"/>
      <c r="C267" s="22"/>
      <c r="K267" s="3"/>
    </row>
    <row r="268">
      <c r="A268" s="27"/>
      <c r="C268" s="22"/>
      <c r="K268" s="3"/>
    </row>
    <row r="269">
      <c r="A269" s="27"/>
      <c r="C269" s="22"/>
      <c r="K269" s="3"/>
    </row>
    <row r="270">
      <c r="A270" s="27"/>
      <c r="C270" s="22"/>
      <c r="K270" s="3"/>
    </row>
    <row r="271">
      <c r="A271" s="27"/>
      <c r="C271" s="22"/>
      <c r="K271" s="3"/>
    </row>
    <row r="272">
      <c r="A272" s="27"/>
      <c r="C272" s="22"/>
      <c r="K272" s="3"/>
    </row>
    <row r="273">
      <c r="A273" s="27"/>
      <c r="C273" s="22"/>
      <c r="K273" s="3"/>
    </row>
    <row r="274">
      <c r="A274" s="27"/>
      <c r="C274" s="22"/>
      <c r="K274" s="3"/>
    </row>
    <row r="275">
      <c r="A275" s="27"/>
      <c r="C275" s="22"/>
      <c r="K275" s="3"/>
    </row>
    <row r="276">
      <c r="A276" s="27"/>
      <c r="C276" s="22"/>
      <c r="K276" s="3"/>
    </row>
    <row r="277">
      <c r="A277" s="27"/>
      <c r="C277" s="22"/>
      <c r="K277" s="3"/>
    </row>
    <row r="278">
      <c r="A278" s="27"/>
      <c r="C278" s="22"/>
      <c r="K278" s="3"/>
    </row>
    <row r="279">
      <c r="A279" s="27"/>
      <c r="C279" s="22"/>
      <c r="K279" s="3"/>
    </row>
    <row r="280">
      <c r="A280" s="27"/>
      <c r="C280" s="22"/>
      <c r="K280" s="3"/>
    </row>
    <row r="281">
      <c r="A281" s="27"/>
      <c r="C281" s="22"/>
      <c r="K281" s="3"/>
    </row>
    <row r="282">
      <c r="A282" s="27"/>
      <c r="C282" s="22"/>
      <c r="K282" s="3"/>
    </row>
    <row r="283">
      <c r="A283" s="27"/>
      <c r="C283" s="22"/>
      <c r="K283" s="3"/>
    </row>
    <row r="284">
      <c r="A284" s="27"/>
      <c r="C284" s="22"/>
      <c r="K284" s="3"/>
    </row>
    <row r="285">
      <c r="A285" s="27"/>
      <c r="C285" s="22"/>
      <c r="K285" s="3"/>
    </row>
    <row r="286">
      <c r="A286" s="27"/>
      <c r="C286" s="22"/>
      <c r="K286" s="3"/>
    </row>
    <row r="287">
      <c r="A287" s="27"/>
      <c r="C287" s="22"/>
      <c r="K287" s="3"/>
    </row>
    <row r="288">
      <c r="A288" s="27"/>
      <c r="C288" s="22"/>
      <c r="K288" s="3"/>
    </row>
    <row r="289">
      <c r="A289" s="27"/>
      <c r="C289" s="22"/>
      <c r="K289" s="3"/>
    </row>
    <row r="290">
      <c r="A290" s="27"/>
      <c r="C290" s="22"/>
      <c r="K290" s="3"/>
    </row>
    <row r="291">
      <c r="A291" s="27"/>
      <c r="C291" s="22"/>
      <c r="K291" s="3"/>
    </row>
    <row r="292">
      <c r="A292" s="27"/>
      <c r="C292" s="22"/>
      <c r="K292" s="3"/>
    </row>
    <row r="293">
      <c r="A293" s="27"/>
      <c r="C293" s="22"/>
      <c r="K293" s="3"/>
    </row>
    <row r="294">
      <c r="A294" s="27"/>
      <c r="C294" s="22"/>
      <c r="K294" s="3"/>
    </row>
    <row r="295">
      <c r="A295" s="27"/>
      <c r="C295" s="22"/>
      <c r="K295" s="3"/>
    </row>
    <row r="296">
      <c r="A296" s="27"/>
      <c r="C296" s="22"/>
      <c r="K296" s="3"/>
    </row>
    <row r="297">
      <c r="A297" s="27"/>
      <c r="C297" s="22"/>
      <c r="K297" s="3"/>
    </row>
    <row r="298">
      <c r="A298" s="27"/>
      <c r="C298" s="22"/>
      <c r="K298" s="3"/>
    </row>
    <row r="299">
      <c r="A299" s="27"/>
      <c r="C299" s="22"/>
      <c r="K299" s="3"/>
    </row>
    <row r="300">
      <c r="A300" s="27"/>
      <c r="C300" s="22"/>
      <c r="K300" s="3"/>
    </row>
    <row r="301">
      <c r="A301" s="27"/>
      <c r="C301" s="22"/>
      <c r="K301" s="3"/>
    </row>
    <row r="302">
      <c r="A302" s="27"/>
      <c r="C302" s="22"/>
      <c r="K302" s="3"/>
    </row>
    <row r="303">
      <c r="A303" s="27"/>
      <c r="C303" s="22"/>
      <c r="K303" s="3"/>
    </row>
    <row r="304">
      <c r="A304" s="27"/>
      <c r="C304" s="22"/>
      <c r="K304" s="3"/>
    </row>
    <row r="305">
      <c r="A305" s="27"/>
      <c r="C305" s="22"/>
      <c r="K305" s="3"/>
    </row>
    <row r="306">
      <c r="A306" s="27"/>
      <c r="C306" s="22"/>
      <c r="K306" s="3"/>
    </row>
    <row r="307">
      <c r="A307" s="27"/>
      <c r="C307" s="22"/>
      <c r="K307" s="3"/>
    </row>
    <row r="308">
      <c r="A308" s="27"/>
      <c r="C308" s="22"/>
      <c r="K308" s="3"/>
    </row>
    <row r="309">
      <c r="A309" s="27"/>
      <c r="C309" s="22"/>
      <c r="K309" s="3"/>
    </row>
    <row r="310">
      <c r="A310" s="27"/>
      <c r="C310" s="22"/>
      <c r="K310" s="3"/>
    </row>
    <row r="311">
      <c r="A311" s="27"/>
      <c r="C311" s="22"/>
      <c r="K311" s="3"/>
    </row>
    <row r="312">
      <c r="A312" s="27"/>
      <c r="C312" s="22"/>
      <c r="K312" s="3"/>
    </row>
    <row r="313">
      <c r="A313" s="27"/>
      <c r="C313" s="22"/>
      <c r="K313" s="3"/>
    </row>
    <row r="314">
      <c r="A314" s="27"/>
      <c r="C314" s="22"/>
      <c r="K314" s="3"/>
    </row>
    <row r="315">
      <c r="A315" s="27"/>
      <c r="C315" s="22"/>
      <c r="K315" s="3"/>
    </row>
    <row r="316">
      <c r="A316" s="27"/>
      <c r="C316" s="22"/>
      <c r="K316" s="3"/>
    </row>
    <row r="317">
      <c r="A317" s="27"/>
      <c r="C317" s="22"/>
      <c r="K317" s="3"/>
    </row>
    <row r="318">
      <c r="A318" s="27"/>
      <c r="C318" s="22"/>
      <c r="K318" s="3"/>
    </row>
    <row r="319">
      <c r="A319" s="27"/>
      <c r="C319" s="22"/>
      <c r="K319" s="3"/>
    </row>
    <row r="320">
      <c r="A320" s="27"/>
      <c r="C320" s="22"/>
      <c r="K320" s="3"/>
    </row>
    <row r="321">
      <c r="A321" s="27"/>
      <c r="C321" s="22"/>
      <c r="K321" s="3"/>
    </row>
    <row r="322">
      <c r="A322" s="27"/>
      <c r="C322" s="22"/>
      <c r="K322" s="3"/>
    </row>
    <row r="323">
      <c r="A323" s="27"/>
      <c r="C323" s="22"/>
      <c r="K323" s="3"/>
    </row>
    <row r="324">
      <c r="A324" s="27"/>
      <c r="C324" s="22"/>
      <c r="K324" s="3"/>
    </row>
    <row r="325">
      <c r="A325" s="27"/>
      <c r="C325" s="22"/>
      <c r="K325" s="3"/>
    </row>
    <row r="326">
      <c r="A326" s="27"/>
      <c r="C326" s="22"/>
      <c r="K326" s="3"/>
    </row>
    <row r="327">
      <c r="A327" s="27"/>
      <c r="C327" s="22"/>
      <c r="K327" s="3"/>
    </row>
    <row r="328">
      <c r="A328" s="27"/>
      <c r="C328" s="22"/>
      <c r="K328" s="3"/>
    </row>
    <row r="329">
      <c r="A329" s="27"/>
      <c r="C329" s="22"/>
      <c r="K329" s="3"/>
    </row>
    <row r="330">
      <c r="A330" s="27"/>
      <c r="C330" s="22"/>
      <c r="K330" s="3"/>
    </row>
    <row r="331">
      <c r="A331" s="27"/>
      <c r="C331" s="22"/>
      <c r="K331" s="3"/>
    </row>
    <row r="332">
      <c r="A332" s="27"/>
      <c r="C332" s="22"/>
      <c r="K332" s="3"/>
    </row>
    <row r="333">
      <c r="A333" s="27"/>
      <c r="C333" s="22"/>
      <c r="K333" s="3"/>
    </row>
    <row r="334">
      <c r="A334" s="27"/>
      <c r="C334" s="22"/>
      <c r="K334" s="3"/>
    </row>
    <row r="335">
      <c r="A335" s="27"/>
      <c r="C335" s="22"/>
      <c r="K335" s="3"/>
    </row>
    <row r="336">
      <c r="A336" s="27"/>
      <c r="C336" s="22"/>
      <c r="K336" s="3"/>
    </row>
    <row r="337">
      <c r="A337" s="27"/>
      <c r="C337" s="22"/>
      <c r="K337" s="3"/>
    </row>
    <row r="338">
      <c r="A338" s="27"/>
      <c r="C338" s="22"/>
      <c r="K338" s="3"/>
    </row>
    <row r="339">
      <c r="A339" s="27"/>
      <c r="C339" s="22"/>
      <c r="K339" s="3"/>
    </row>
    <row r="340">
      <c r="A340" s="27"/>
      <c r="C340" s="22"/>
      <c r="K340" s="3"/>
    </row>
    <row r="341">
      <c r="A341" s="27"/>
      <c r="C341" s="22"/>
      <c r="K341" s="3"/>
    </row>
    <row r="342">
      <c r="A342" s="27"/>
      <c r="C342" s="22"/>
      <c r="K342" s="3"/>
    </row>
    <row r="343">
      <c r="A343" s="27"/>
      <c r="C343" s="22"/>
      <c r="K343" s="3"/>
    </row>
    <row r="344">
      <c r="A344" s="27"/>
      <c r="C344" s="22"/>
      <c r="K344" s="3"/>
    </row>
    <row r="345">
      <c r="A345" s="27"/>
      <c r="C345" s="22"/>
      <c r="K345" s="3"/>
    </row>
    <row r="346">
      <c r="A346" s="27"/>
      <c r="C346" s="22"/>
      <c r="K346" s="3"/>
    </row>
    <row r="347">
      <c r="A347" s="27"/>
      <c r="C347" s="22"/>
      <c r="K347" s="3"/>
    </row>
    <row r="348">
      <c r="A348" s="27"/>
      <c r="C348" s="22"/>
      <c r="K348" s="3"/>
    </row>
    <row r="349">
      <c r="A349" s="27"/>
      <c r="C349" s="22"/>
      <c r="K349" s="3"/>
    </row>
    <row r="350">
      <c r="A350" s="27"/>
      <c r="C350" s="22"/>
      <c r="K350" s="3"/>
    </row>
    <row r="351">
      <c r="A351" s="27"/>
      <c r="C351" s="22"/>
      <c r="K351" s="3"/>
    </row>
    <row r="352">
      <c r="A352" s="27"/>
      <c r="C352" s="22"/>
      <c r="K352" s="3"/>
    </row>
    <row r="353">
      <c r="A353" s="27"/>
      <c r="C353" s="22"/>
      <c r="K353" s="3"/>
    </row>
    <row r="354">
      <c r="A354" s="27"/>
      <c r="C354" s="22"/>
      <c r="K354" s="3"/>
    </row>
    <row r="355">
      <c r="A355" s="27"/>
      <c r="C355" s="22"/>
      <c r="K355" s="3"/>
    </row>
    <row r="356">
      <c r="A356" s="27"/>
      <c r="C356" s="22"/>
      <c r="K356" s="3"/>
    </row>
    <row r="357">
      <c r="A357" s="27"/>
      <c r="C357" s="22"/>
      <c r="K357" s="3"/>
    </row>
    <row r="358">
      <c r="A358" s="27"/>
      <c r="C358" s="22"/>
      <c r="K358" s="3"/>
    </row>
    <row r="359">
      <c r="A359" s="27"/>
      <c r="C359" s="22"/>
      <c r="K359" s="3"/>
    </row>
    <row r="360">
      <c r="A360" s="27"/>
      <c r="C360" s="22"/>
      <c r="K360" s="3"/>
    </row>
    <row r="361">
      <c r="A361" s="27"/>
      <c r="C361" s="22"/>
      <c r="K361" s="3"/>
    </row>
    <row r="362">
      <c r="A362" s="27"/>
      <c r="C362" s="22"/>
      <c r="K362" s="3"/>
    </row>
    <row r="363">
      <c r="A363" s="27"/>
      <c r="C363" s="22"/>
      <c r="K363" s="3"/>
    </row>
    <row r="364">
      <c r="A364" s="27"/>
      <c r="C364" s="22"/>
      <c r="K364" s="3"/>
    </row>
    <row r="365">
      <c r="A365" s="27"/>
      <c r="C365" s="22"/>
      <c r="K365" s="3"/>
    </row>
    <row r="366">
      <c r="A366" s="27"/>
      <c r="C366" s="22"/>
      <c r="K366" s="3"/>
    </row>
    <row r="367">
      <c r="A367" s="27"/>
      <c r="C367" s="22"/>
      <c r="K367" s="3"/>
    </row>
    <row r="368">
      <c r="A368" s="27"/>
      <c r="C368" s="22"/>
      <c r="K368" s="3"/>
    </row>
    <row r="369">
      <c r="A369" s="27"/>
      <c r="C369" s="22"/>
      <c r="K369" s="3"/>
    </row>
    <row r="370">
      <c r="A370" s="27"/>
      <c r="C370" s="22"/>
      <c r="K370" s="3"/>
    </row>
    <row r="371">
      <c r="A371" s="27"/>
      <c r="C371" s="22"/>
      <c r="K371" s="3"/>
    </row>
    <row r="372">
      <c r="A372" s="27"/>
      <c r="C372" s="22"/>
      <c r="K372" s="3"/>
    </row>
    <row r="373">
      <c r="A373" s="27"/>
      <c r="C373" s="22"/>
      <c r="K373" s="3"/>
    </row>
    <row r="374">
      <c r="A374" s="27"/>
      <c r="C374" s="22"/>
      <c r="K374" s="3"/>
    </row>
    <row r="375">
      <c r="A375" s="27"/>
      <c r="C375" s="22"/>
      <c r="K375" s="3"/>
    </row>
    <row r="376">
      <c r="A376" s="27"/>
      <c r="C376" s="22"/>
      <c r="K376" s="3"/>
    </row>
    <row r="377">
      <c r="A377" s="27"/>
      <c r="C377" s="22"/>
      <c r="K377" s="3"/>
    </row>
    <row r="378">
      <c r="A378" s="27"/>
      <c r="C378" s="22"/>
      <c r="K378" s="3"/>
    </row>
    <row r="379">
      <c r="A379" s="27"/>
      <c r="C379" s="22"/>
      <c r="K379" s="3"/>
    </row>
    <row r="380">
      <c r="A380" s="27"/>
      <c r="C380" s="22"/>
      <c r="K380" s="3"/>
    </row>
    <row r="381">
      <c r="A381" s="27"/>
      <c r="C381" s="22"/>
      <c r="K381" s="3"/>
    </row>
    <row r="382">
      <c r="A382" s="27"/>
      <c r="C382" s="22"/>
      <c r="K382" s="3"/>
    </row>
    <row r="383">
      <c r="A383" s="27"/>
      <c r="C383" s="22"/>
      <c r="K383" s="3"/>
    </row>
    <row r="384">
      <c r="A384" s="27"/>
      <c r="C384" s="22"/>
      <c r="K384" s="3"/>
    </row>
    <row r="385">
      <c r="A385" s="27"/>
      <c r="C385" s="22"/>
      <c r="K385" s="3"/>
    </row>
    <row r="386">
      <c r="A386" s="27"/>
      <c r="C386" s="22"/>
      <c r="K386" s="3"/>
    </row>
    <row r="387">
      <c r="A387" s="27"/>
      <c r="C387" s="22"/>
      <c r="K387" s="3"/>
    </row>
    <row r="388">
      <c r="A388" s="27"/>
      <c r="C388" s="22"/>
      <c r="K388" s="3"/>
    </row>
    <row r="389">
      <c r="A389" s="27"/>
      <c r="C389" s="22"/>
      <c r="K389" s="3"/>
    </row>
    <row r="390">
      <c r="A390" s="27"/>
      <c r="C390" s="22"/>
      <c r="K390" s="3"/>
    </row>
    <row r="391">
      <c r="A391" s="27"/>
      <c r="C391" s="22"/>
      <c r="K391" s="3"/>
    </row>
    <row r="392">
      <c r="A392" s="27"/>
      <c r="C392" s="22"/>
      <c r="K392" s="3"/>
    </row>
    <row r="393">
      <c r="A393" s="27"/>
      <c r="C393" s="22"/>
      <c r="K393" s="3"/>
    </row>
    <row r="394">
      <c r="A394" s="27"/>
      <c r="C394" s="22"/>
      <c r="K394" s="3"/>
    </row>
    <row r="395">
      <c r="A395" s="27"/>
      <c r="C395" s="22"/>
      <c r="K395" s="3"/>
    </row>
    <row r="396">
      <c r="A396" s="27"/>
      <c r="C396" s="22"/>
      <c r="K396" s="3"/>
    </row>
    <row r="397">
      <c r="A397" s="27"/>
      <c r="C397" s="22"/>
      <c r="K397" s="3"/>
    </row>
    <row r="398">
      <c r="A398" s="27"/>
      <c r="C398" s="22"/>
      <c r="K398" s="3"/>
    </row>
    <row r="399">
      <c r="A399" s="27"/>
      <c r="C399" s="22"/>
      <c r="K399" s="3"/>
    </row>
    <row r="400">
      <c r="A400" s="27"/>
      <c r="C400" s="22"/>
      <c r="K400" s="3"/>
    </row>
    <row r="401">
      <c r="A401" s="27"/>
      <c r="C401" s="22"/>
      <c r="K401" s="3"/>
    </row>
    <row r="402">
      <c r="A402" s="27"/>
      <c r="C402" s="22"/>
      <c r="K402" s="3"/>
    </row>
    <row r="403">
      <c r="A403" s="27"/>
      <c r="C403" s="22"/>
      <c r="K403" s="3"/>
    </row>
    <row r="404">
      <c r="A404" s="27"/>
      <c r="C404" s="22"/>
      <c r="K404" s="3"/>
    </row>
    <row r="405">
      <c r="A405" s="27"/>
      <c r="C405" s="22"/>
      <c r="K405" s="3"/>
    </row>
    <row r="406">
      <c r="A406" s="27"/>
      <c r="C406" s="22"/>
      <c r="K406" s="3"/>
    </row>
    <row r="407">
      <c r="A407" s="27"/>
      <c r="C407" s="22"/>
      <c r="K407" s="3"/>
    </row>
    <row r="408">
      <c r="A408" s="27"/>
      <c r="C408" s="22"/>
      <c r="K408" s="3"/>
    </row>
    <row r="409">
      <c r="A409" s="27"/>
      <c r="C409" s="22"/>
      <c r="K409" s="3"/>
    </row>
    <row r="410">
      <c r="A410" s="27"/>
      <c r="C410" s="22"/>
      <c r="K410" s="3"/>
    </row>
    <row r="411">
      <c r="A411" s="27"/>
      <c r="C411" s="22"/>
      <c r="K411" s="3"/>
    </row>
    <row r="412">
      <c r="A412" s="27"/>
      <c r="C412" s="22"/>
      <c r="K412" s="3"/>
    </row>
    <row r="413">
      <c r="A413" s="27"/>
      <c r="C413" s="22"/>
      <c r="K413" s="3"/>
    </row>
    <row r="414">
      <c r="A414" s="27"/>
      <c r="C414" s="22"/>
      <c r="K414" s="3"/>
    </row>
    <row r="415">
      <c r="A415" s="27"/>
      <c r="C415" s="22"/>
      <c r="K415" s="3"/>
    </row>
    <row r="416">
      <c r="A416" s="27"/>
      <c r="C416" s="22"/>
      <c r="K416" s="3"/>
    </row>
    <row r="417">
      <c r="A417" s="27"/>
      <c r="C417" s="22"/>
      <c r="K417" s="3"/>
    </row>
    <row r="418">
      <c r="A418" s="27"/>
      <c r="C418" s="22"/>
      <c r="K418" s="3"/>
    </row>
    <row r="419">
      <c r="A419" s="27"/>
      <c r="C419" s="22"/>
      <c r="K419" s="3"/>
    </row>
    <row r="420">
      <c r="A420" s="27"/>
      <c r="C420" s="22"/>
      <c r="K420" s="3"/>
    </row>
    <row r="421">
      <c r="A421" s="27"/>
      <c r="C421" s="22"/>
      <c r="K421" s="3"/>
    </row>
    <row r="422">
      <c r="A422" s="27"/>
      <c r="C422" s="22"/>
      <c r="K422" s="3"/>
    </row>
    <row r="423">
      <c r="A423" s="27"/>
      <c r="C423" s="22"/>
      <c r="K423" s="3"/>
    </row>
    <row r="424">
      <c r="A424" s="27"/>
      <c r="C424" s="22"/>
      <c r="K424" s="3"/>
    </row>
    <row r="425">
      <c r="A425" s="27"/>
      <c r="C425" s="22"/>
      <c r="K425" s="3"/>
    </row>
    <row r="426">
      <c r="A426" s="27"/>
      <c r="C426" s="22"/>
      <c r="K426" s="3"/>
    </row>
    <row r="427">
      <c r="A427" s="27"/>
      <c r="C427" s="22"/>
      <c r="K427" s="3"/>
    </row>
    <row r="428">
      <c r="A428" s="27"/>
      <c r="C428" s="22"/>
      <c r="K428" s="3"/>
    </row>
    <row r="429">
      <c r="A429" s="27"/>
      <c r="C429" s="22"/>
      <c r="K429" s="3"/>
    </row>
    <row r="430">
      <c r="A430" s="27"/>
      <c r="C430" s="22"/>
      <c r="K430" s="3"/>
    </row>
    <row r="431">
      <c r="A431" s="27"/>
      <c r="C431" s="22"/>
      <c r="K431" s="3"/>
    </row>
    <row r="432">
      <c r="A432" s="27"/>
      <c r="C432" s="22"/>
      <c r="K432" s="3"/>
    </row>
    <row r="433">
      <c r="A433" s="27"/>
      <c r="C433" s="22"/>
      <c r="K433" s="3"/>
    </row>
    <row r="434">
      <c r="A434" s="27"/>
      <c r="C434" s="22"/>
      <c r="K434" s="3"/>
    </row>
    <row r="435">
      <c r="A435" s="27"/>
      <c r="C435" s="22"/>
      <c r="K435" s="3"/>
    </row>
    <row r="436">
      <c r="A436" s="27"/>
      <c r="C436" s="22"/>
      <c r="K436" s="3"/>
    </row>
    <row r="437">
      <c r="A437" s="27"/>
      <c r="C437" s="22"/>
      <c r="K437" s="3"/>
    </row>
    <row r="438">
      <c r="A438" s="27"/>
      <c r="C438" s="22"/>
      <c r="K438" s="3"/>
    </row>
    <row r="439">
      <c r="A439" s="27"/>
      <c r="C439" s="22"/>
      <c r="K439" s="3"/>
    </row>
    <row r="440">
      <c r="A440" s="27"/>
      <c r="C440" s="22"/>
      <c r="K440" s="3"/>
    </row>
    <row r="441">
      <c r="A441" s="27"/>
      <c r="C441" s="22"/>
      <c r="K441" s="3"/>
    </row>
    <row r="442">
      <c r="A442" s="27"/>
      <c r="C442" s="22"/>
      <c r="K442" s="3"/>
    </row>
    <row r="443">
      <c r="A443" s="27"/>
      <c r="C443" s="22"/>
      <c r="K443" s="3"/>
    </row>
    <row r="444">
      <c r="A444" s="27"/>
      <c r="C444" s="22"/>
      <c r="K444" s="3"/>
    </row>
    <row r="445">
      <c r="A445" s="27"/>
      <c r="C445" s="22"/>
      <c r="K445" s="3"/>
    </row>
    <row r="446">
      <c r="A446" s="27"/>
      <c r="C446" s="22"/>
      <c r="K446" s="3"/>
    </row>
    <row r="447">
      <c r="A447" s="27"/>
      <c r="C447" s="22"/>
      <c r="K447" s="3"/>
    </row>
    <row r="448">
      <c r="A448" s="27"/>
      <c r="C448" s="22"/>
      <c r="K448" s="3"/>
    </row>
    <row r="449">
      <c r="A449" s="27"/>
      <c r="C449" s="22"/>
      <c r="K449" s="3"/>
    </row>
    <row r="450">
      <c r="A450" s="27"/>
      <c r="C450" s="22"/>
      <c r="K450" s="3"/>
    </row>
    <row r="451">
      <c r="A451" s="27"/>
      <c r="C451" s="22"/>
      <c r="K451" s="3"/>
    </row>
    <row r="452">
      <c r="A452" s="27"/>
      <c r="C452" s="22"/>
      <c r="K452" s="3"/>
    </row>
    <row r="453">
      <c r="A453" s="27"/>
      <c r="C453" s="22"/>
      <c r="K453" s="3"/>
    </row>
    <row r="454">
      <c r="A454" s="27"/>
      <c r="C454" s="22"/>
      <c r="K454" s="3"/>
    </row>
    <row r="455">
      <c r="A455" s="27"/>
      <c r="C455" s="22"/>
      <c r="K455" s="3"/>
    </row>
    <row r="456">
      <c r="A456" s="27"/>
      <c r="C456" s="22"/>
      <c r="K456" s="3"/>
    </row>
    <row r="457">
      <c r="A457" s="27"/>
      <c r="C457" s="22"/>
      <c r="K457" s="3"/>
    </row>
    <row r="458">
      <c r="A458" s="27"/>
      <c r="C458" s="22"/>
      <c r="K458" s="3"/>
    </row>
    <row r="459">
      <c r="A459" s="27"/>
      <c r="C459" s="22"/>
      <c r="K459" s="3"/>
    </row>
    <row r="460">
      <c r="A460" s="27"/>
      <c r="C460" s="22"/>
      <c r="K460" s="3"/>
    </row>
    <row r="461">
      <c r="A461" s="27"/>
      <c r="C461" s="22"/>
      <c r="K461" s="3"/>
    </row>
    <row r="462">
      <c r="A462" s="27"/>
      <c r="C462" s="22"/>
      <c r="K462" s="3"/>
    </row>
    <row r="463">
      <c r="A463" s="27"/>
      <c r="C463" s="22"/>
      <c r="K463" s="3"/>
    </row>
    <row r="464">
      <c r="A464" s="27"/>
      <c r="C464" s="22"/>
      <c r="K464" s="3"/>
    </row>
    <row r="465">
      <c r="A465" s="27"/>
      <c r="C465" s="22"/>
      <c r="K465" s="3"/>
    </row>
    <row r="466">
      <c r="A466" s="27"/>
      <c r="C466" s="22"/>
      <c r="K466" s="3"/>
    </row>
    <row r="467">
      <c r="A467" s="27"/>
      <c r="C467" s="22"/>
      <c r="K467" s="3"/>
    </row>
    <row r="468">
      <c r="A468" s="27"/>
      <c r="C468" s="22"/>
      <c r="K468" s="3"/>
    </row>
    <row r="469">
      <c r="A469" s="27"/>
      <c r="C469" s="22"/>
      <c r="K469" s="3"/>
    </row>
    <row r="470">
      <c r="A470" s="27"/>
      <c r="C470" s="22"/>
      <c r="K470" s="3"/>
    </row>
    <row r="471">
      <c r="A471" s="27"/>
      <c r="C471" s="22"/>
      <c r="K471" s="3"/>
    </row>
    <row r="472">
      <c r="A472" s="27"/>
      <c r="C472" s="22"/>
      <c r="K472" s="3"/>
    </row>
    <row r="473">
      <c r="A473" s="27"/>
      <c r="C473" s="22"/>
      <c r="K473" s="3"/>
    </row>
    <row r="474">
      <c r="A474" s="27"/>
      <c r="C474" s="22"/>
      <c r="K474" s="3"/>
    </row>
    <row r="475">
      <c r="A475" s="27"/>
      <c r="C475" s="22"/>
      <c r="K475" s="3"/>
    </row>
    <row r="476">
      <c r="A476" s="27"/>
      <c r="C476" s="22"/>
      <c r="K476" s="3"/>
    </row>
    <row r="477">
      <c r="A477" s="27"/>
      <c r="C477" s="22"/>
      <c r="K477" s="3"/>
    </row>
    <row r="478">
      <c r="A478" s="27"/>
      <c r="C478" s="22"/>
      <c r="K478" s="3"/>
    </row>
    <row r="479">
      <c r="A479" s="27"/>
      <c r="C479" s="22"/>
      <c r="K479" s="3"/>
    </row>
    <row r="480">
      <c r="A480" s="27"/>
      <c r="C480" s="22"/>
      <c r="K480" s="3"/>
    </row>
    <row r="481">
      <c r="A481" s="27"/>
      <c r="C481" s="22"/>
      <c r="K481" s="3"/>
    </row>
    <row r="482">
      <c r="A482" s="27"/>
      <c r="C482" s="22"/>
      <c r="K482" s="3"/>
    </row>
    <row r="483">
      <c r="A483" s="27"/>
      <c r="C483" s="22"/>
      <c r="K483" s="3"/>
    </row>
    <row r="484">
      <c r="A484" s="27"/>
      <c r="C484" s="22"/>
      <c r="K484" s="3"/>
    </row>
    <row r="485">
      <c r="A485" s="27"/>
      <c r="C485" s="22"/>
      <c r="K485" s="3"/>
    </row>
    <row r="486">
      <c r="A486" s="27"/>
      <c r="C486" s="22"/>
      <c r="K486" s="3"/>
    </row>
    <row r="487">
      <c r="A487" s="27"/>
      <c r="C487" s="22"/>
      <c r="K487" s="3"/>
    </row>
    <row r="488">
      <c r="A488" s="27"/>
      <c r="C488" s="22"/>
      <c r="K488" s="3"/>
    </row>
    <row r="489">
      <c r="A489" s="27"/>
      <c r="C489" s="22"/>
      <c r="K489" s="3"/>
    </row>
    <row r="490">
      <c r="A490" s="27"/>
      <c r="C490" s="22"/>
      <c r="K490" s="3"/>
    </row>
    <row r="491">
      <c r="A491" s="27"/>
      <c r="C491" s="22"/>
      <c r="K491" s="3"/>
    </row>
    <row r="492">
      <c r="A492" s="27"/>
      <c r="C492" s="22"/>
      <c r="K492" s="3"/>
    </row>
    <row r="493">
      <c r="A493" s="27"/>
      <c r="C493" s="22"/>
      <c r="K493" s="3"/>
    </row>
    <row r="494">
      <c r="A494" s="27"/>
      <c r="C494" s="22"/>
      <c r="K494" s="3"/>
    </row>
    <row r="495">
      <c r="A495" s="27"/>
      <c r="C495" s="22"/>
      <c r="K495" s="3"/>
    </row>
    <row r="496">
      <c r="A496" s="27"/>
      <c r="C496" s="22"/>
      <c r="K496" s="3"/>
    </row>
    <row r="497">
      <c r="A497" s="27"/>
      <c r="C497" s="22"/>
      <c r="K497" s="3"/>
    </row>
    <row r="498">
      <c r="A498" s="27"/>
      <c r="C498" s="22"/>
      <c r="K498" s="3"/>
    </row>
    <row r="499">
      <c r="A499" s="27"/>
      <c r="C499" s="22"/>
      <c r="K499" s="3"/>
    </row>
    <row r="500">
      <c r="A500" s="27"/>
      <c r="C500" s="22"/>
      <c r="K500" s="3"/>
    </row>
    <row r="501">
      <c r="A501" s="27"/>
      <c r="C501" s="22"/>
      <c r="K501" s="3"/>
    </row>
    <row r="502">
      <c r="A502" s="27"/>
      <c r="C502" s="22"/>
      <c r="K502" s="3"/>
    </row>
    <row r="503">
      <c r="A503" s="27"/>
      <c r="C503" s="22"/>
      <c r="K503" s="3"/>
    </row>
    <row r="504">
      <c r="A504" s="27"/>
      <c r="C504" s="22"/>
      <c r="K504" s="3"/>
    </row>
    <row r="505">
      <c r="A505" s="27"/>
      <c r="C505" s="22"/>
      <c r="K505" s="3"/>
    </row>
    <row r="506">
      <c r="A506" s="27"/>
      <c r="C506" s="22"/>
      <c r="K506" s="3"/>
    </row>
    <row r="507">
      <c r="A507" s="27"/>
      <c r="C507" s="22"/>
      <c r="K507" s="3"/>
    </row>
    <row r="508">
      <c r="A508" s="27"/>
      <c r="C508" s="22"/>
      <c r="K508" s="3"/>
    </row>
    <row r="509">
      <c r="A509" s="27"/>
      <c r="C509" s="22"/>
      <c r="K509" s="3"/>
    </row>
    <row r="510">
      <c r="A510" s="27"/>
      <c r="C510" s="22"/>
      <c r="K510" s="3"/>
    </row>
    <row r="511">
      <c r="A511" s="27"/>
      <c r="C511" s="22"/>
      <c r="K511" s="3"/>
    </row>
    <row r="512">
      <c r="A512" s="27"/>
      <c r="C512" s="22"/>
      <c r="K512" s="3"/>
    </row>
    <row r="513">
      <c r="A513" s="27"/>
      <c r="C513" s="22"/>
      <c r="K513" s="3"/>
    </row>
    <row r="514">
      <c r="A514" s="27"/>
      <c r="C514" s="22"/>
      <c r="K514" s="3"/>
    </row>
    <row r="515">
      <c r="A515" s="27"/>
      <c r="C515" s="22"/>
      <c r="K515" s="3"/>
    </row>
    <row r="516">
      <c r="A516" s="27"/>
      <c r="C516" s="22"/>
      <c r="K516" s="3"/>
    </row>
    <row r="517">
      <c r="A517" s="27"/>
      <c r="C517" s="22"/>
      <c r="K517" s="3"/>
    </row>
    <row r="518">
      <c r="A518" s="27"/>
      <c r="C518" s="22"/>
      <c r="K518" s="3"/>
    </row>
    <row r="519">
      <c r="A519" s="27"/>
      <c r="C519" s="22"/>
      <c r="K519" s="3"/>
    </row>
    <row r="520">
      <c r="A520" s="27"/>
      <c r="C520" s="22"/>
      <c r="K520" s="3"/>
    </row>
    <row r="521">
      <c r="A521" s="27"/>
      <c r="C521" s="22"/>
      <c r="K521" s="3"/>
    </row>
    <row r="522">
      <c r="A522" s="27"/>
      <c r="C522" s="22"/>
      <c r="K522" s="3"/>
    </row>
    <row r="523">
      <c r="A523" s="27"/>
      <c r="C523" s="22"/>
      <c r="K523" s="3"/>
    </row>
    <row r="524">
      <c r="A524" s="27"/>
      <c r="C524" s="22"/>
      <c r="K524" s="3"/>
    </row>
    <row r="525">
      <c r="A525" s="27"/>
      <c r="C525" s="22"/>
      <c r="K525" s="3"/>
    </row>
    <row r="526">
      <c r="A526" s="27"/>
      <c r="C526" s="22"/>
      <c r="K526" s="3"/>
    </row>
    <row r="527">
      <c r="A527" s="27"/>
      <c r="C527" s="22"/>
      <c r="K527" s="3"/>
    </row>
    <row r="528">
      <c r="A528" s="27"/>
      <c r="C528" s="22"/>
      <c r="K528" s="3"/>
    </row>
    <row r="529">
      <c r="A529" s="27"/>
      <c r="C529" s="22"/>
      <c r="K529" s="3"/>
    </row>
    <row r="530">
      <c r="A530" s="27"/>
      <c r="C530" s="22"/>
      <c r="K530" s="3"/>
    </row>
    <row r="531">
      <c r="A531" s="27"/>
      <c r="C531" s="22"/>
      <c r="K531" s="3"/>
    </row>
    <row r="532">
      <c r="A532" s="27"/>
      <c r="C532" s="22"/>
      <c r="K532" s="3"/>
    </row>
    <row r="533">
      <c r="A533" s="27"/>
      <c r="C533" s="22"/>
      <c r="K533" s="3"/>
    </row>
    <row r="534">
      <c r="A534" s="27"/>
      <c r="C534" s="22"/>
      <c r="K534" s="3"/>
    </row>
    <row r="535">
      <c r="A535" s="27"/>
      <c r="C535" s="22"/>
      <c r="K535" s="3"/>
    </row>
    <row r="536">
      <c r="A536" s="27"/>
      <c r="C536" s="22"/>
      <c r="K536" s="3"/>
    </row>
    <row r="537">
      <c r="A537" s="27"/>
      <c r="C537" s="22"/>
      <c r="K537" s="3"/>
    </row>
    <row r="538">
      <c r="A538" s="27"/>
      <c r="C538" s="22"/>
      <c r="K538" s="3"/>
    </row>
    <row r="539">
      <c r="A539" s="27"/>
      <c r="C539" s="22"/>
      <c r="K539" s="3"/>
    </row>
    <row r="540">
      <c r="A540" s="27"/>
      <c r="C540" s="22"/>
      <c r="K540" s="3"/>
    </row>
    <row r="541">
      <c r="A541" s="27"/>
      <c r="C541" s="22"/>
      <c r="K541" s="3"/>
    </row>
    <row r="542">
      <c r="A542" s="27"/>
      <c r="C542" s="22"/>
      <c r="K542" s="3"/>
    </row>
    <row r="543">
      <c r="A543" s="27"/>
      <c r="C543" s="22"/>
      <c r="K543" s="3"/>
    </row>
    <row r="544">
      <c r="A544" s="27"/>
      <c r="C544" s="22"/>
      <c r="K544" s="3"/>
    </row>
    <row r="545">
      <c r="A545" s="27"/>
      <c r="C545" s="22"/>
      <c r="K545" s="3"/>
    </row>
    <row r="546">
      <c r="A546" s="27"/>
      <c r="C546" s="22"/>
      <c r="K546" s="3"/>
    </row>
    <row r="547">
      <c r="A547" s="27"/>
      <c r="C547" s="22"/>
      <c r="K547" s="3"/>
    </row>
    <row r="548">
      <c r="A548" s="27"/>
      <c r="C548" s="22"/>
      <c r="K548" s="3"/>
    </row>
    <row r="549">
      <c r="A549" s="27"/>
      <c r="C549" s="22"/>
      <c r="K549" s="3"/>
    </row>
    <row r="550">
      <c r="A550" s="27"/>
      <c r="C550" s="22"/>
      <c r="K550" s="3"/>
    </row>
    <row r="551">
      <c r="A551" s="27"/>
      <c r="C551" s="22"/>
      <c r="K551" s="3"/>
    </row>
    <row r="552">
      <c r="A552" s="27"/>
      <c r="C552" s="22"/>
      <c r="K552" s="3"/>
    </row>
    <row r="553">
      <c r="A553" s="27"/>
      <c r="C553" s="22"/>
      <c r="K553" s="3"/>
    </row>
    <row r="554">
      <c r="A554" s="27"/>
      <c r="C554" s="22"/>
      <c r="K554" s="3"/>
    </row>
    <row r="555">
      <c r="A555" s="27"/>
      <c r="C555" s="22"/>
      <c r="K555" s="3"/>
    </row>
    <row r="556">
      <c r="A556" s="27"/>
      <c r="C556" s="22"/>
      <c r="K556" s="3"/>
    </row>
    <row r="557">
      <c r="A557" s="27"/>
      <c r="C557" s="22"/>
      <c r="K557" s="3"/>
    </row>
    <row r="558">
      <c r="A558" s="27"/>
      <c r="C558" s="22"/>
      <c r="K558" s="3"/>
    </row>
    <row r="559">
      <c r="A559" s="27"/>
      <c r="C559" s="22"/>
      <c r="K559" s="3"/>
    </row>
    <row r="560">
      <c r="A560" s="27"/>
      <c r="C560" s="22"/>
      <c r="K560" s="3"/>
    </row>
    <row r="561">
      <c r="A561" s="27"/>
      <c r="C561" s="22"/>
      <c r="K561" s="3"/>
    </row>
    <row r="562">
      <c r="A562" s="27"/>
      <c r="C562" s="22"/>
      <c r="K562" s="3"/>
    </row>
    <row r="563">
      <c r="A563" s="27"/>
      <c r="C563" s="22"/>
      <c r="K563" s="3"/>
    </row>
    <row r="564">
      <c r="A564" s="27"/>
      <c r="C564" s="22"/>
      <c r="K564" s="3"/>
    </row>
    <row r="565">
      <c r="A565" s="27"/>
      <c r="C565" s="22"/>
      <c r="K565" s="3"/>
    </row>
    <row r="566">
      <c r="A566" s="27"/>
      <c r="C566" s="22"/>
      <c r="K566" s="3"/>
    </row>
    <row r="567">
      <c r="A567" s="27"/>
      <c r="C567" s="22"/>
      <c r="K567" s="3"/>
    </row>
    <row r="568">
      <c r="A568" s="27"/>
      <c r="C568" s="22"/>
      <c r="K568" s="3"/>
    </row>
    <row r="569">
      <c r="A569" s="27"/>
      <c r="C569" s="22"/>
      <c r="K569" s="3"/>
    </row>
    <row r="570">
      <c r="A570" s="27"/>
      <c r="C570" s="22"/>
      <c r="K570" s="3"/>
    </row>
    <row r="571">
      <c r="A571" s="27"/>
      <c r="C571" s="22"/>
      <c r="K571" s="3"/>
    </row>
    <row r="572">
      <c r="A572" s="27"/>
      <c r="C572" s="22"/>
      <c r="K572" s="3"/>
    </row>
    <row r="573">
      <c r="A573" s="27"/>
      <c r="C573" s="22"/>
      <c r="K573" s="3"/>
    </row>
    <row r="574">
      <c r="A574" s="27"/>
      <c r="C574" s="22"/>
      <c r="K574" s="3"/>
    </row>
    <row r="575">
      <c r="A575" s="27"/>
      <c r="C575" s="22"/>
      <c r="K575" s="3"/>
    </row>
    <row r="576">
      <c r="A576" s="27"/>
      <c r="C576" s="22"/>
      <c r="K576" s="3"/>
    </row>
    <row r="577">
      <c r="A577" s="27"/>
      <c r="C577" s="22"/>
      <c r="K577" s="3"/>
    </row>
    <row r="578">
      <c r="A578" s="27"/>
      <c r="C578" s="22"/>
      <c r="K578" s="3"/>
    </row>
    <row r="579">
      <c r="A579" s="27"/>
      <c r="C579" s="22"/>
      <c r="K579" s="3"/>
    </row>
    <row r="580">
      <c r="A580" s="27"/>
      <c r="C580" s="22"/>
      <c r="K580" s="3"/>
    </row>
    <row r="581">
      <c r="A581" s="27"/>
      <c r="C581" s="22"/>
      <c r="K581" s="3"/>
    </row>
    <row r="582">
      <c r="A582" s="27"/>
      <c r="C582" s="22"/>
      <c r="K582" s="3"/>
    </row>
    <row r="583">
      <c r="A583" s="27"/>
      <c r="C583" s="22"/>
      <c r="K583" s="3"/>
    </row>
    <row r="584">
      <c r="A584" s="27"/>
      <c r="C584" s="22"/>
      <c r="K584" s="3"/>
    </row>
    <row r="585">
      <c r="A585" s="27"/>
      <c r="C585" s="22"/>
      <c r="K585" s="3"/>
    </row>
    <row r="586">
      <c r="A586" s="27"/>
      <c r="C586" s="22"/>
      <c r="K586" s="3"/>
    </row>
    <row r="587">
      <c r="A587" s="27"/>
      <c r="C587" s="22"/>
      <c r="K587" s="3"/>
    </row>
    <row r="588">
      <c r="A588" s="27"/>
      <c r="C588" s="22"/>
      <c r="K588" s="3"/>
    </row>
    <row r="589">
      <c r="A589" s="27"/>
      <c r="C589" s="22"/>
      <c r="K589" s="3"/>
    </row>
    <row r="590">
      <c r="A590" s="27"/>
      <c r="C590" s="22"/>
      <c r="K590" s="3"/>
    </row>
    <row r="591">
      <c r="A591" s="27"/>
      <c r="C591" s="22"/>
      <c r="K591" s="3"/>
    </row>
    <row r="592">
      <c r="A592" s="27"/>
      <c r="C592" s="22"/>
      <c r="K592" s="3"/>
    </row>
    <row r="593">
      <c r="A593" s="27"/>
      <c r="C593" s="22"/>
      <c r="K593" s="3"/>
    </row>
    <row r="594">
      <c r="A594" s="27"/>
      <c r="C594" s="22"/>
      <c r="K594" s="3"/>
    </row>
    <row r="595">
      <c r="A595" s="27"/>
      <c r="C595" s="22"/>
      <c r="K595" s="3"/>
    </row>
    <row r="596">
      <c r="A596" s="27"/>
      <c r="C596" s="22"/>
      <c r="K596" s="3"/>
    </row>
    <row r="597">
      <c r="A597" s="27"/>
      <c r="C597" s="22"/>
      <c r="K597" s="3"/>
    </row>
    <row r="598">
      <c r="A598" s="27"/>
      <c r="C598" s="22"/>
      <c r="K598" s="3"/>
    </row>
    <row r="599">
      <c r="A599" s="27"/>
      <c r="C599" s="22"/>
      <c r="K599" s="3"/>
    </row>
    <row r="600">
      <c r="A600" s="27"/>
      <c r="C600" s="22"/>
      <c r="K600" s="3"/>
    </row>
    <row r="601">
      <c r="A601" s="27"/>
      <c r="C601" s="22"/>
      <c r="K601" s="3"/>
    </row>
    <row r="602">
      <c r="A602" s="27"/>
      <c r="C602" s="22"/>
      <c r="K602" s="3"/>
    </row>
    <row r="603">
      <c r="A603" s="27"/>
      <c r="C603" s="22"/>
      <c r="K603" s="3"/>
    </row>
    <row r="604">
      <c r="A604" s="27"/>
      <c r="C604" s="22"/>
      <c r="K604" s="3"/>
    </row>
    <row r="605">
      <c r="A605" s="27"/>
      <c r="C605" s="22"/>
      <c r="K605" s="3"/>
    </row>
    <row r="606">
      <c r="A606" s="27"/>
      <c r="C606" s="22"/>
      <c r="K606" s="3"/>
    </row>
    <row r="607">
      <c r="A607" s="27"/>
      <c r="C607" s="22"/>
      <c r="K607" s="3"/>
    </row>
    <row r="608">
      <c r="A608" s="27"/>
      <c r="C608" s="22"/>
      <c r="K608" s="3"/>
    </row>
    <row r="609">
      <c r="A609" s="27"/>
      <c r="C609" s="22"/>
      <c r="K609" s="3"/>
    </row>
    <row r="610">
      <c r="A610" s="27"/>
      <c r="C610" s="22"/>
      <c r="K610" s="3"/>
    </row>
    <row r="611">
      <c r="A611" s="27"/>
      <c r="C611" s="22"/>
      <c r="K611" s="3"/>
    </row>
    <row r="612">
      <c r="A612" s="27"/>
      <c r="C612" s="22"/>
      <c r="K612" s="3"/>
    </row>
    <row r="613">
      <c r="A613" s="27"/>
      <c r="C613" s="22"/>
      <c r="K613" s="3"/>
    </row>
    <row r="614">
      <c r="A614" s="27"/>
      <c r="C614" s="22"/>
      <c r="K614" s="3"/>
    </row>
    <row r="615">
      <c r="A615" s="27"/>
      <c r="C615" s="22"/>
      <c r="K615" s="3"/>
    </row>
    <row r="616">
      <c r="A616" s="27"/>
      <c r="C616" s="22"/>
      <c r="K616" s="3"/>
    </row>
    <row r="617">
      <c r="A617" s="27"/>
      <c r="C617" s="22"/>
      <c r="K617" s="3"/>
    </row>
    <row r="618">
      <c r="A618" s="27"/>
      <c r="C618" s="22"/>
      <c r="K618" s="3"/>
    </row>
    <row r="619">
      <c r="A619" s="27"/>
      <c r="C619" s="22"/>
      <c r="K619" s="3"/>
    </row>
    <row r="620">
      <c r="A620" s="27"/>
      <c r="C620" s="22"/>
      <c r="K620" s="3"/>
    </row>
    <row r="621">
      <c r="A621" s="27"/>
      <c r="C621" s="22"/>
      <c r="K621" s="3"/>
    </row>
    <row r="622">
      <c r="A622" s="27"/>
      <c r="C622" s="22"/>
      <c r="K622" s="3"/>
    </row>
    <row r="623">
      <c r="A623" s="27"/>
      <c r="C623" s="22"/>
      <c r="K623" s="3"/>
    </row>
    <row r="624">
      <c r="A624" s="27"/>
      <c r="C624" s="22"/>
      <c r="K624" s="3"/>
    </row>
    <row r="625">
      <c r="A625" s="27"/>
      <c r="C625" s="22"/>
      <c r="K625" s="3"/>
    </row>
    <row r="626">
      <c r="A626" s="27"/>
      <c r="C626" s="22"/>
      <c r="K626" s="3"/>
    </row>
    <row r="627">
      <c r="A627" s="27"/>
      <c r="C627" s="22"/>
      <c r="K627" s="3"/>
    </row>
    <row r="628">
      <c r="A628" s="27"/>
      <c r="C628" s="22"/>
      <c r="K628" s="3"/>
    </row>
    <row r="629">
      <c r="A629" s="27"/>
      <c r="C629" s="22"/>
      <c r="K629" s="3"/>
    </row>
    <row r="630">
      <c r="A630" s="27"/>
      <c r="C630" s="22"/>
      <c r="K630" s="3"/>
    </row>
    <row r="631">
      <c r="A631" s="27"/>
      <c r="C631" s="22"/>
      <c r="K631" s="3"/>
    </row>
    <row r="632">
      <c r="A632" s="27"/>
      <c r="C632" s="22"/>
      <c r="K632" s="3"/>
    </row>
    <row r="633">
      <c r="A633" s="27"/>
      <c r="C633" s="22"/>
      <c r="K633" s="3"/>
    </row>
    <row r="634">
      <c r="A634" s="27"/>
      <c r="C634" s="22"/>
      <c r="K634" s="3"/>
    </row>
    <row r="635">
      <c r="A635" s="27"/>
      <c r="C635" s="22"/>
      <c r="K635" s="3"/>
    </row>
    <row r="636">
      <c r="A636" s="27"/>
      <c r="C636" s="22"/>
      <c r="K636" s="3"/>
    </row>
    <row r="637">
      <c r="A637" s="27"/>
      <c r="C637" s="22"/>
      <c r="K637" s="3"/>
    </row>
    <row r="638">
      <c r="A638" s="27"/>
      <c r="C638" s="22"/>
      <c r="K638" s="3"/>
    </row>
    <row r="639">
      <c r="A639" s="27"/>
      <c r="C639" s="22"/>
      <c r="K639" s="3"/>
    </row>
    <row r="640">
      <c r="A640" s="27"/>
      <c r="C640" s="22"/>
      <c r="K640" s="3"/>
    </row>
    <row r="641">
      <c r="A641" s="27"/>
      <c r="C641" s="22"/>
      <c r="K641" s="3"/>
    </row>
    <row r="642">
      <c r="A642" s="27"/>
      <c r="C642" s="22"/>
      <c r="K642" s="3"/>
    </row>
    <row r="643">
      <c r="A643" s="27"/>
      <c r="C643" s="22"/>
      <c r="K643" s="3"/>
    </row>
    <row r="644">
      <c r="A644" s="27"/>
      <c r="C644" s="22"/>
      <c r="K644" s="3"/>
    </row>
    <row r="645">
      <c r="A645" s="27"/>
      <c r="C645" s="22"/>
      <c r="K645" s="3"/>
    </row>
    <row r="646">
      <c r="A646" s="27"/>
      <c r="C646" s="22"/>
      <c r="K646" s="3"/>
    </row>
    <row r="647">
      <c r="A647" s="27"/>
      <c r="C647" s="22"/>
      <c r="K647" s="3"/>
    </row>
    <row r="648">
      <c r="A648" s="27"/>
      <c r="C648" s="22"/>
      <c r="K648" s="3"/>
    </row>
    <row r="649">
      <c r="A649" s="27"/>
      <c r="C649" s="22"/>
      <c r="K649" s="3"/>
    </row>
    <row r="650">
      <c r="A650" s="27"/>
      <c r="C650" s="22"/>
      <c r="K650" s="3"/>
    </row>
    <row r="651">
      <c r="A651" s="27"/>
      <c r="C651" s="22"/>
      <c r="K651" s="3"/>
    </row>
    <row r="652">
      <c r="A652" s="27"/>
      <c r="C652" s="22"/>
      <c r="K652" s="3"/>
    </row>
    <row r="653">
      <c r="A653" s="27"/>
      <c r="C653" s="22"/>
      <c r="K653" s="3"/>
    </row>
    <row r="654">
      <c r="A654" s="27"/>
      <c r="C654" s="22"/>
      <c r="K654" s="3"/>
    </row>
    <row r="655">
      <c r="A655" s="27"/>
      <c r="C655" s="22"/>
      <c r="K655" s="3"/>
    </row>
    <row r="656">
      <c r="A656" s="27"/>
      <c r="C656" s="22"/>
      <c r="K656" s="3"/>
    </row>
    <row r="657">
      <c r="A657" s="27"/>
      <c r="C657" s="22"/>
      <c r="K657" s="3"/>
    </row>
    <row r="658">
      <c r="A658" s="27"/>
      <c r="C658" s="22"/>
      <c r="K658" s="3"/>
    </row>
    <row r="659">
      <c r="A659" s="27"/>
      <c r="C659" s="22"/>
      <c r="K659" s="3"/>
    </row>
    <row r="660">
      <c r="A660" s="27"/>
      <c r="C660" s="22"/>
      <c r="K660" s="3"/>
    </row>
    <row r="661">
      <c r="A661" s="27"/>
      <c r="C661" s="22"/>
      <c r="K661" s="3"/>
    </row>
    <row r="662">
      <c r="A662" s="27"/>
      <c r="C662" s="22"/>
      <c r="K662" s="3"/>
    </row>
    <row r="663">
      <c r="A663" s="27"/>
      <c r="C663" s="22"/>
      <c r="K663" s="3"/>
    </row>
    <row r="664">
      <c r="A664" s="27"/>
      <c r="C664" s="22"/>
      <c r="K664" s="3"/>
    </row>
    <row r="665">
      <c r="A665" s="27"/>
      <c r="C665" s="22"/>
      <c r="K665" s="3"/>
    </row>
    <row r="666">
      <c r="A666" s="27"/>
      <c r="C666" s="22"/>
      <c r="K666" s="3"/>
    </row>
    <row r="667">
      <c r="A667" s="27"/>
      <c r="C667" s="22"/>
      <c r="K667" s="3"/>
    </row>
    <row r="668">
      <c r="A668" s="27"/>
      <c r="C668" s="22"/>
      <c r="K668" s="3"/>
    </row>
    <row r="669">
      <c r="A669" s="27"/>
      <c r="C669" s="22"/>
      <c r="K669" s="3"/>
    </row>
    <row r="670">
      <c r="A670" s="27"/>
      <c r="C670" s="22"/>
      <c r="K670" s="3"/>
    </row>
    <row r="671">
      <c r="A671" s="27"/>
      <c r="C671" s="22"/>
      <c r="K671" s="3"/>
    </row>
    <row r="672">
      <c r="A672" s="27"/>
      <c r="C672" s="22"/>
      <c r="K672" s="3"/>
    </row>
    <row r="673">
      <c r="A673" s="27"/>
      <c r="C673" s="22"/>
      <c r="K673" s="3"/>
    </row>
    <row r="674">
      <c r="A674" s="27"/>
      <c r="C674" s="22"/>
      <c r="K674" s="3"/>
    </row>
    <row r="675">
      <c r="A675" s="27"/>
      <c r="C675" s="22"/>
      <c r="K675" s="3"/>
    </row>
    <row r="676">
      <c r="A676" s="27"/>
      <c r="C676" s="22"/>
      <c r="K676" s="3"/>
    </row>
    <row r="677">
      <c r="A677" s="27"/>
      <c r="C677" s="22"/>
      <c r="K677" s="3"/>
    </row>
    <row r="678">
      <c r="A678" s="27"/>
      <c r="C678" s="22"/>
      <c r="K678" s="3"/>
    </row>
    <row r="679">
      <c r="A679" s="27"/>
      <c r="C679" s="22"/>
      <c r="K679" s="3"/>
    </row>
    <row r="680">
      <c r="A680" s="27"/>
      <c r="C680" s="22"/>
      <c r="K680" s="3"/>
    </row>
    <row r="681">
      <c r="A681" s="27"/>
      <c r="C681" s="22"/>
      <c r="K681" s="3"/>
    </row>
    <row r="682">
      <c r="A682" s="27"/>
      <c r="C682" s="22"/>
      <c r="K682" s="3"/>
    </row>
    <row r="683">
      <c r="A683" s="27"/>
      <c r="C683" s="22"/>
      <c r="K683" s="3"/>
    </row>
    <row r="684">
      <c r="A684" s="27"/>
      <c r="C684" s="22"/>
      <c r="K684" s="3"/>
    </row>
    <row r="685">
      <c r="A685" s="27"/>
      <c r="C685" s="22"/>
      <c r="K685" s="3"/>
    </row>
    <row r="686">
      <c r="A686" s="27"/>
      <c r="C686" s="22"/>
      <c r="K686" s="3"/>
    </row>
    <row r="687">
      <c r="A687" s="27"/>
      <c r="C687" s="22"/>
      <c r="K687" s="3"/>
    </row>
    <row r="688">
      <c r="A688" s="27"/>
      <c r="C688" s="22"/>
      <c r="K688" s="3"/>
    </row>
    <row r="689">
      <c r="A689" s="27"/>
      <c r="C689" s="22"/>
      <c r="K689" s="3"/>
    </row>
    <row r="690">
      <c r="A690" s="27"/>
      <c r="C690" s="22"/>
      <c r="K690" s="3"/>
    </row>
    <row r="691">
      <c r="A691" s="27"/>
      <c r="C691" s="22"/>
      <c r="K691" s="3"/>
    </row>
    <row r="692">
      <c r="A692" s="27"/>
      <c r="C692" s="22"/>
      <c r="K692" s="3"/>
    </row>
    <row r="693">
      <c r="A693" s="27"/>
      <c r="C693" s="22"/>
      <c r="K693" s="3"/>
    </row>
    <row r="694">
      <c r="A694" s="27"/>
      <c r="C694" s="22"/>
      <c r="K694" s="3"/>
    </row>
    <row r="695">
      <c r="A695" s="27"/>
      <c r="C695" s="22"/>
      <c r="K695" s="3"/>
    </row>
    <row r="696">
      <c r="A696" s="27"/>
      <c r="C696" s="22"/>
      <c r="K696" s="3"/>
    </row>
    <row r="697">
      <c r="A697" s="27"/>
      <c r="C697" s="22"/>
      <c r="K697" s="3"/>
    </row>
    <row r="698">
      <c r="A698" s="27"/>
      <c r="C698" s="22"/>
      <c r="K698" s="3"/>
    </row>
    <row r="699">
      <c r="A699" s="27"/>
      <c r="C699" s="22"/>
      <c r="K699" s="3"/>
    </row>
    <row r="700">
      <c r="A700" s="27"/>
      <c r="C700" s="22"/>
      <c r="K700" s="3"/>
    </row>
    <row r="701">
      <c r="A701" s="27"/>
      <c r="C701" s="22"/>
      <c r="K701" s="3"/>
    </row>
    <row r="702">
      <c r="A702" s="27"/>
      <c r="C702" s="22"/>
      <c r="K702" s="3"/>
    </row>
    <row r="703">
      <c r="A703" s="27"/>
      <c r="C703" s="22"/>
      <c r="K703" s="3"/>
    </row>
    <row r="704">
      <c r="A704" s="27"/>
      <c r="C704" s="22"/>
      <c r="K704" s="3"/>
    </row>
    <row r="705">
      <c r="A705" s="27"/>
      <c r="C705" s="22"/>
      <c r="K705" s="3"/>
    </row>
    <row r="706">
      <c r="A706" s="27"/>
      <c r="C706" s="22"/>
      <c r="K706" s="3"/>
    </row>
    <row r="707">
      <c r="A707" s="27"/>
      <c r="C707" s="22"/>
      <c r="K707" s="3"/>
    </row>
    <row r="708">
      <c r="A708" s="27"/>
      <c r="C708" s="22"/>
      <c r="K708" s="3"/>
    </row>
    <row r="709">
      <c r="A709" s="27"/>
      <c r="C709" s="22"/>
      <c r="K709" s="3"/>
    </row>
    <row r="710">
      <c r="A710" s="27"/>
      <c r="C710" s="22"/>
      <c r="K710" s="3"/>
    </row>
    <row r="711">
      <c r="A711" s="27"/>
      <c r="C711" s="22"/>
      <c r="K711" s="3"/>
    </row>
    <row r="712">
      <c r="A712" s="27"/>
      <c r="C712" s="22"/>
      <c r="K712" s="3"/>
    </row>
    <row r="713">
      <c r="A713" s="27"/>
      <c r="C713" s="22"/>
      <c r="K713" s="3"/>
    </row>
    <row r="714">
      <c r="A714" s="27"/>
      <c r="C714" s="22"/>
      <c r="K714" s="3"/>
    </row>
    <row r="715">
      <c r="A715" s="27"/>
      <c r="C715" s="22"/>
      <c r="K715" s="3"/>
    </row>
    <row r="716">
      <c r="A716" s="27"/>
      <c r="C716" s="22"/>
      <c r="K716" s="3"/>
    </row>
    <row r="717">
      <c r="A717" s="27"/>
      <c r="C717" s="22"/>
      <c r="K717" s="3"/>
    </row>
    <row r="718">
      <c r="A718" s="27"/>
      <c r="C718" s="22"/>
      <c r="K718" s="3"/>
    </row>
    <row r="719">
      <c r="A719" s="27"/>
      <c r="C719" s="22"/>
      <c r="K719" s="3"/>
    </row>
    <row r="720">
      <c r="A720" s="27"/>
      <c r="C720" s="22"/>
      <c r="K720" s="3"/>
    </row>
    <row r="721">
      <c r="A721" s="27"/>
      <c r="C721" s="22"/>
      <c r="K721" s="3"/>
    </row>
    <row r="722">
      <c r="A722" s="27"/>
      <c r="C722" s="22"/>
      <c r="K722" s="3"/>
    </row>
    <row r="723">
      <c r="A723" s="27"/>
      <c r="C723" s="22"/>
      <c r="K723" s="3"/>
    </row>
    <row r="724">
      <c r="A724" s="27"/>
      <c r="C724" s="22"/>
      <c r="K724" s="3"/>
    </row>
    <row r="725">
      <c r="A725" s="27"/>
      <c r="C725" s="22"/>
      <c r="K725" s="3"/>
    </row>
    <row r="726">
      <c r="A726" s="27"/>
      <c r="C726" s="22"/>
      <c r="K726" s="3"/>
    </row>
    <row r="727">
      <c r="A727" s="27"/>
      <c r="C727" s="22"/>
      <c r="K727" s="3"/>
    </row>
    <row r="728">
      <c r="A728" s="27"/>
      <c r="C728" s="22"/>
      <c r="K728" s="3"/>
    </row>
    <row r="729">
      <c r="A729" s="27"/>
      <c r="C729" s="22"/>
      <c r="K729" s="3"/>
    </row>
    <row r="730">
      <c r="A730" s="27"/>
      <c r="C730" s="22"/>
      <c r="K730" s="3"/>
    </row>
    <row r="731">
      <c r="A731" s="27"/>
      <c r="C731" s="22"/>
      <c r="K731" s="3"/>
    </row>
    <row r="732">
      <c r="A732" s="27"/>
      <c r="C732" s="22"/>
      <c r="K732" s="3"/>
    </row>
    <row r="733">
      <c r="A733" s="27"/>
      <c r="C733" s="22"/>
      <c r="K733" s="3"/>
    </row>
    <row r="734">
      <c r="A734" s="27"/>
      <c r="C734" s="22"/>
      <c r="K734" s="3"/>
    </row>
    <row r="735">
      <c r="A735" s="27"/>
      <c r="C735" s="22"/>
      <c r="K735" s="3"/>
    </row>
    <row r="736">
      <c r="A736" s="27"/>
      <c r="C736" s="22"/>
      <c r="K736" s="3"/>
    </row>
    <row r="737">
      <c r="A737" s="27"/>
      <c r="C737" s="22"/>
      <c r="K737" s="3"/>
    </row>
    <row r="738">
      <c r="A738" s="27"/>
      <c r="C738" s="22"/>
      <c r="K738" s="3"/>
    </row>
    <row r="739">
      <c r="A739" s="27"/>
      <c r="C739" s="22"/>
      <c r="K739" s="3"/>
    </row>
    <row r="740">
      <c r="A740" s="27"/>
      <c r="C740" s="22"/>
      <c r="K740" s="3"/>
    </row>
    <row r="741">
      <c r="A741" s="27"/>
      <c r="C741" s="22"/>
      <c r="K741" s="3"/>
    </row>
    <row r="742">
      <c r="A742" s="27"/>
      <c r="C742" s="22"/>
      <c r="K742" s="3"/>
    </row>
    <row r="743">
      <c r="A743" s="27"/>
      <c r="C743" s="22"/>
      <c r="K743" s="3"/>
    </row>
    <row r="744">
      <c r="A744" s="27"/>
      <c r="C744" s="22"/>
      <c r="K744" s="3"/>
    </row>
    <row r="745">
      <c r="A745" s="27"/>
      <c r="C745" s="22"/>
      <c r="K745" s="3"/>
    </row>
    <row r="746">
      <c r="A746" s="27"/>
      <c r="C746" s="22"/>
      <c r="K746" s="3"/>
    </row>
    <row r="747">
      <c r="A747" s="27"/>
      <c r="C747" s="22"/>
      <c r="K747" s="3"/>
    </row>
    <row r="748">
      <c r="A748" s="27"/>
      <c r="C748" s="22"/>
      <c r="K748" s="3"/>
    </row>
    <row r="749">
      <c r="A749" s="27"/>
      <c r="C749" s="22"/>
      <c r="K749" s="3"/>
    </row>
    <row r="750">
      <c r="A750" s="27"/>
      <c r="C750" s="22"/>
      <c r="K750" s="3"/>
    </row>
    <row r="751">
      <c r="A751" s="27"/>
      <c r="C751" s="22"/>
      <c r="K751" s="3"/>
    </row>
    <row r="752">
      <c r="A752" s="27"/>
      <c r="C752" s="22"/>
      <c r="K752" s="3"/>
    </row>
    <row r="753">
      <c r="A753" s="27"/>
      <c r="C753" s="22"/>
      <c r="K753" s="3"/>
    </row>
    <row r="754">
      <c r="A754" s="27"/>
      <c r="C754" s="22"/>
      <c r="K754" s="3"/>
    </row>
    <row r="755">
      <c r="A755" s="27"/>
      <c r="C755" s="22"/>
      <c r="K755" s="3"/>
    </row>
    <row r="756">
      <c r="A756" s="27"/>
      <c r="C756" s="22"/>
      <c r="K756" s="3"/>
    </row>
    <row r="757">
      <c r="A757" s="27"/>
      <c r="C757" s="22"/>
      <c r="K757" s="3"/>
    </row>
    <row r="758">
      <c r="A758" s="27"/>
      <c r="C758" s="22"/>
      <c r="K758" s="3"/>
    </row>
    <row r="759">
      <c r="A759" s="27"/>
      <c r="C759" s="22"/>
      <c r="K759" s="3"/>
    </row>
    <row r="760">
      <c r="A760" s="27"/>
      <c r="C760" s="22"/>
      <c r="K760" s="3"/>
    </row>
    <row r="761">
      <c r="A761" s="27"/>
      <c r="C761" s="22"/>
      <c r="K761" s="3"/>
    </row>
    <row r="762">
      <c r="A762" s="27"/>
      <c r="C762" s="22"/>
      <c r="K762" s="3"/>
    </row>
    <row r="763">
      <c r="A763" s="27"/>
      <c r="C763" s="22"/>
      <c r="K763" s="3"/>
    </row>
    <row r="764">
      <c r="A764" s="27"/>
      <c r="C764" s="22"/>
      <c r="K764" s="3"/>
    </row>
    <row r="765">
      <c r="A765" s="27"/>
      <c r="C765" s="22"/>
      <c r="K765" s="3"/>
    </row>
    <row r="766">
      <c r="A766" s="27"/>
      <c r="C766" s="22"/>
      <c r="K766" s="3"/>
    </row>
    <row r="767">
      <c r="A767" s="27"/>
      <c r="C767" s="22"/>
      <c r="K767" s="3"/>
    </row>
    <row r="768">
      <c r="A768" s="27"/>
      <c r="C768" s="22"/>
      <c r="K768" s="3"/>
    </row>
    <row r="769">
      <c r="A769" s="27"/>
      <c r="C769" s="22"/>
      <c r="K769" s="3"/>
    </row>
    <row r="770">
      <c r="A770" s="27"/>
      <c r="C770" s="22"/>
      <c r="K770" s="3"/>
    </row>
    <row r="771">
      <c r="A771" s="27"/>
      <c r="C771" s="22"/>
      <c r="K771" s="3"/>
    </row>
    <row r="772">
      <c r="A772" s="27"/>
      <c r="C772" s="22"/>
      <c r="K772" s="3"/>
    </row>
    <row r="773">
      <c r="A773" s="27"/>
      <c r="C773" s="22"/>
      <c r="K773" s="3"/>
    </row>
    <row r="774">
      <c r="A774" s="27"/>
      <c r="C774" s="22"/>
      <c r="K774" s="3"/>
    </row>
    <row r="775">
      <c r="A775" s="27"/>
      <c r="C775" s="22"/>
      <c r="K775" s="3"/>
    </row>
    <row r="776">
      <c r="A776" s="27"/>
      <c r="C776" s="22"/>
      <c r="K776" s="3"/>
    </row>
    <row r="777">
      <c r="A777" s="27"/>
      <c r="C777" s="22"/>
      <c r="K777" s="3"/>
    </row>
    <row r="778">
      <c r="A778" s="27"/>
      <c r="C778" s="22"/>
      <c r="K778" s="3"/>
    </row>
    <row r="779">
      <c r="A779" s="27"/>
      <c r="C779" s="22"/>
      <c r="K779" s="3"/>
    </row>
    <row r="780">
      <c r="A780" s="27"/>
      <c r="C780" s="22"/>
      <c r="K780" s="3"/>
    </row>
    <row r="781">
      <c r="A781" s="27"/>
      <c r="C781" s="22"/>
      <c r="K781" s="3"/>
    </row>
    <row r="782">
      <c r="A782" s="27"/>
      <c r="C782" s="22"/>
      <c r="K782" s="3"/>
    </row>
    <row r="783">
      <c r="A783" s="27"/>
      <c r="C783" s="22"/>
      <c r="K783" s="3"/>
    </row>
    <row r="784">
      <c r="A784" s="27"/>
      <c r="C784" s="22"/>
      <c r="K784" s="3"/>
    </row>
    <row r="785">
      <c r="A785" s="27"/>
      <c r="C785" s="22"/>
      <c r="K785" s="3"/>
    </row>
    <row r="786">
      <c r="A786" s="27"/>
      <c r="C786" s="22"/>
      <c r="K786" s="3"/>
    </row>
    <row r="787">
      <c r="A787" s="27"/>
      <c r="C787" s="22"/>
      <c r="K787" s="3"/>
    </row>
    <row r="788">
      <c r="A788" s="27"/>
      <c r="C788" s="22"/>
      <c r="K788" s="3"/>
    </row>
    <row r="789">
      <c r="A789" s="27"/>
      <c r="C789" s="22"/>
      <c r="K789" s="3"/>
    </row>
    <row r="790">
      <c r="A790" s="27"/>
      <c r="C790" s="22"/>
      <c r="K790" s="3"/>
    </row>
    <row r="791">
      <c r="A791" s="27"/>
      <c r="C791" s="22"/>
      <c r="K791" s="3"/>
    </row>
    <row r="792">
      <c r="A792" s="27"/>
      <c r="C792" s="22"/>
      <c r="K792" s="3"/>
    </row>
    <row r="793">
      <c r="A793" s="27"/>
      <c r="C793" s="22"/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1">
      <c r="K951" s="3"/>
    </row>
    <row r="952">
      <c r="K952" s="3"/>
    </row>
    <row r="953">
      <c r="K953" s="3"/>
    </row>
  </sheetData>
  <autoFilter ref="$A$1:$D$130">
    <sortState ref="A1:D130">
      <sortCondition ref="A1:A130"/>
    </sortState>
  </autoFilter>
  <mergeCells count="4">
    <mergeCell ref="J2:K2"/>
    <mergeCell ref="J11:K11"/>
    <mergeCell ref="J24:K24"/>
    <mergeCell ref="J33:K33"/>
  </mergeCells>
  <conditionalFormatting sqref="L1:L953">
    <cfRule type="containsText" dxfId="0" priority="1" operator="containsText" text="Pago">
      <formula>NOT(ISERROR(SEARCH(("Pago"),(L1))))</formula>
    </cfRule>
  </conditionalFormatting>
  <conditionalFormatting sqref="L1:L953">
    <cfRule type="containsText" dxfId="1" priority="2" operator="containsText" text="Pendente">
      <formula>NOT(ISERROR(SEARCH(("Pendente"),(L1))))</formula>
    </cfRule>
  </conditionalFormatting>
  <hyperlinks>
    <hyperlink r:id="rId2" ref="B56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17.13"/>
    <col customWidth="1" min="7" max="7" width="19.25"/>
    <col customWidth="1" min="8" max="8" width="48.88"/>
  </cols>
  <sheetData>
    <row r="1">
      <c r="A1" s="37"/>
      <c r="B1" s="37"/>
      <c r="C1" s="37"/>
      <c r="D1" s="37"/>
      <c r="E1" s="37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1" t="s">
        <v>0</v>
      </c>
      <c r="C2" s="1" t="s">
        <v>1</v>
      </c>
      <c r="D2" s="2" t="s">
        <v>2</v>
      </c>
      <c r="E2" s="1" t="s">
        <v>3</v>
      </c>
      <c r="F2" s="1" t="s">
        <v>416</v>
      </c>
      <c r="G2" s="1" t="s">
        <v>540</v>
      </c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45987.0</v>
      </c>
      <c r="C3" s="5" t="s">
        <v>460</v>
      </c>
      <c r="D3" s="6">
        <v>69.99</v>
      </c>
      <c r="E3" s="71" t="s">
        <v>13</v>
      </c>
      <c r="F3" s="71" t="s">
        <v>420</v>
      </c>
      <c r="G3" s="71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45987.0</v>
      </c>
      <c r="C4" s="5" t="s">
        <v>450</v>
      </c>
      <c r="D4" s="6">
        <v>113.16</v>
      </c>
      <c r="E4" s="71" t="s">
        <v>13</v>
      </c>
      <c r="F4" s="71" t="s">
        <v>422</v>
      </c>
      <c r="G4" s="71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45987.0</v>
      </c>
      <c r="C5" s="5" t="s">
        <v>30</v>
      </c>
      <c r="D5" s="6">
        <v>113.95</v>
      </c>
      <c r="E5" s="71" t="s">
        <v>13</v>
      </c>
      <c r="F5" s="71" t="s">
        <v>183</v>
      </c>
      <c r="G5" s="71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45987.0</v>
      </c>
      <c r="C6" s="5" t="s">
        <v>442</v>
      </c>
      <c r="D6" s="6">
        <v>255.25</v>
      </c>
      <c r="E6" s="71" t="s">
        <v>13</v>
      </c>
      <c r="F6" s="71" t="s">
        <v>418</v>
      </c>
      <c r="G6" s="71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45987.0</v>
      </c>
      <c r="C7" s="5" t="s">
        <v>445</v>
      </c>
      <c r="D7" s="6">
        <v>113.19</v>
      </c>
      <c r="E7" s="71" t="s">
        <v>13</v>
      </c>
      <c r="F7" s="71" t="s">
        <v>423</v>
      </c>
      <c r="G7" s="71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45987.0</v>
      </c>
      <c r="C8" s="5" t="s">
        <v>454</v>
      </c>
      <c r="D8" s="6">
        <v>126.18</v>
      </c>
      <c r="E8" s="71" t="s">
        <v>13</v>
      </c>
      <c r="F8" s="71" t="s">
        <v>421</v>
      </c>
      <c r="G8" s="71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45988.0</v>
      </c>
      <c r="C9" s="5" t="s">
        <v>464</v>
      </c>
      <c r="D9" s="6">
        <v>264.9</v>
      </c>
      <c r="E9" s="71" t="s">
        <v>13</v>
      </c>
      <c r="F9" s="71" t="s">
        <v>541</v>
      </c>
      <c r="G9" s="71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45990.0</v>
      </c>
      <c r="C10" s="5" t="s">
        <v>474</v>
      </c>
      <c r="D10" s="6">
        <v>106.6</v>
      </c>
      <c r="E10" s="71" t="s">
        <v>13</v>
      </c>
      <c r="F10" s="71" t="s">
        <v>149</v>
      </c>
      <c r="G10" s="71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45990.0</v>
      </c>
      <c r="C11" s="5" t="s">
        <v>475</v>
      </c>
      <c r="D11" s="6">
        <v>51.8</v>
      </c>
      <c r="E11" s="71" t="s">
        <v>13</v>
      </c>
      <c r="F11" s="71" t="s">
        <v>149</v>
      </c>
      <c r="G11" s="71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45991.0</v>
      </c>
      <c r="C12" s="5" t="s">
        <v>478</v>
      </c>
      <c r="D12" s="6">
        <v>146.25</v>
      </c>
      <c r="E12" s="71" t="s">
        <v>13</v>
      </c>
      <c r="F12" s="71" t="s">
        <v>183</v>
      </c>
      <c r="G12" s="71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45991.0</v>
      </c>
      <c r="C13" s="5" t="s">
        <v>481</v>
      </c>
      <c r="D13" s="6">
        <v>6.9</v>
      </c>
      <c r="E13" s="71" t="s">
        <v>13</v>
      </c>
      <c r="F13" s="71" t="s">
        <v>183</v>
      </c>
      <c r="G13" s="71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45998.0</v>
      </c>
      <c r="C14" s="5" t="s">
        <v>496</v>
      </c>
      <c r="D14" s="6">
        <v>36.0</v>
      </c>
      <c r="E14" s="71" t="s">
        <v>13</v>
      </c>
      <c r="F14" s="71" t="s">
        <v>149</v>
      </c>
      <c r="G14" s="71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45998.0</v>
      </c>
      <c r="C15" s="5" t="s">
        <v>497</v>
      </c>
      <c r="D15" s="6">
        <v>70.0</v>
      </c>
      <c r="E15" s="71" t="s">
        <v>13</v>
      </c>
      <c r="F15" s="71" t="s">
        <v>417</v>
      </c>
      <c r="G15" s="71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45999.0</v>
      </c>
      <c r="C16" s="5" t="s">
        <v>500</v>
      </c>
      <c r="D16" s="6">
        <v>32.41</v>
      </c>
      <c r="E16" s="71" t="s">
        <v>13</v>
      </c>
      <c r="F16" s="71" t="s">
        <v>425</v>
      </c>
      <c r="G16" s="71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46000.0</v>
      </c>
      <c r="C17" s="5" t="s">
        <v>504</v>
      </c>
      <c r="D17" s="6">
        <v>111.79</v>
      </c>
      <c r="E17" s="71" t="s">
        <v>13</v>
      </c>
      <c r="F17" s="71" t="s">
        <v>542</v>
      </c>
      <c r="G17" s="71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46001.0</v>
      </c>
      <c r="C18" s="5" t="s">
        <v>509</v>
      </c>
      <c r="D18" s="6">
        <v>49.8</v>
      </c>
      <c r="E18" s="71" t="s">
        <v>13</v>
      </c>
      <c r="F18" s="71" t="s">
        <v>421</v>
      </c>
      <c r="G18" s="71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46002.0</v>
      </c>
      <c r="C19" s="5" t="s">
        <v>119</v>
      </c>
      <c r="D19" s="6">
        <v>89.9</v>
      </c>
      <c r="E19" s="71" t="s">
        <v>13</v>
      </c>
      <c r="F19" s="71" t="s">
        <v>427</v>
      </c>
      <c r="G19" s="71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46003.0</v>
      </c>
      <c r="C20" s="5" t="s">
        <v>513</v>
      </c>
      <c r="D20" s="6">
        <v>36.5</v>
      </c>
      <c r="E20" s="71" t="s">
        <v>13</v>
      </c>
      <c r="F20" s="71" t="s">
        <v>543</v>
      </c>
      <c r="G20" s="71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46006.0</v>
      </c>
      <c r="C21" s="5" t="s">
        <v>381</v>
      </c>
      <c r="D21" s="6">
        <v>42.0</v>
      </c>
      <c r="E21" s="71" t="s">
        <v>13</v>
      </c>
      <c r="F21" s="71" t="s">
        <v>245</v>
      </c>
      <c r="G21" s="71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46006.0</v>
      </c>
      <c r="C22" s="5" t="s">
        <v>379</v>
      </c>
      <c r="D22" s="6">
        <v>100.0</v>
      </c>
      <c r="E22" s="71" t="s">
        <v>13</v>
      </c>
      <c r="F22" s="71" t="s">
        <v>417</v>
      </c>
      <c r="G22" s="71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45998.0</v>
      </c>
      <c r="C23" s="5" t="s">
        <v>544</v>
      </c>
      <c r="D23" s="85">
        <v>17.56</v>
      </c>
      <c r="E23" s="71" t="s">
        <v>545</v>
      </c>
      <c r="F23" s="71" t="s">
        <v>546</v>
      </c>
      <c r="G23" s="87">
        <v>17.56</v>
      </c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45987.0</v>
      </c>
      <c r="C24" s="5" t="s">
        <v>437</v>
      </c>
      <c r="D24" s="6">
        <v>76.86</v>
      </c>
      <c r="E24" s="71" t="s">
        <v>438</v>
      </c>
      <c r="F24" s="71" t="s">
        <v>547</v>
      </c>
      <c r="G24" s="87">
        <v>38.43</v>
      </c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45988.0</v>
      </c>
      <c r="C25" s="5" t="s">
        <v>467</v>
      </c>
      <c r="D25" s="6">
        <v>70.5</v>
      </c>
      <c r="E25" s="71" t="s">
        <v>438</v>
      </c>
      <c r="F25" s="71" t="s">
        <v>547</v>
      </c>
      <c r="G25" s="87">
        <v>35.0</v>
      </c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45991.0</v>
      </c>
      <c r="C26" s="5" t="s">
        <v>482</v>
      </c>
      <c r="D26" s="6">
        <v>136.47</v>
      </c>
      <c r="E26" s="71" t="s">
        <v>438</v>
      </c>
      <c r="F26" s="71" t="s">
        <v>547</v>
      </c>
      <c r="G26" s="87">
        <v>74.09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45997.0</v>
      </c>
      <c r="C27" s="5" t="s">
        <v>494</v>
      </c>
      <c r="D27" s="6">
        <v>145.4</v>
      </c>
      <c r="E27" s="71" t="s">
        <v>438</v>
      </c>
      <c r="F27" s="71" t="s">
        <v>547</v>
      </c>
      <c r="G27" s="87">
        <v>72.7</v>
      </c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45999.0</v>
      </c>
      <c r="C28" s="88" t="s">
        <v>503</v>
      </c>
      <c r="D28" s="6">
        <v>94.0</v>
      </c>
      <c r="E28" s="71" t="s">
        <v>438</v>
      </c>
      <c r="F28" s="71" t="s">
        <v>547</v>
      </c>
      <c r="G28" s="89">
        <v>47.0</v>
      </c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39"/>
      <c r="D29" s="39"/>
      <c r="E29" s="38"/>
      <c r="F29" s="38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78" t="s">
        <v>6</v>
      </c>
      <c r="D30" s="79">
        <f>SUM(D2:D22)</f>
        <v>1936.57</v>
      </c>
      <c r="E30" s="38"/>
      <c r="F30" s="38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C31" s="80" t="s">
        <v>548</v>
      </c>
      <c r="D31" s="90">
        <f>sum(G:G)</f>
        <v>284.78</v>
      </c>
      <c r="F31" s="38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C32" s="80" t="s">
        <v>210</v>
      </c>
      <c r="D32" s="91">
        <f>SUM(D30:D31)</f>
        <v>2221.35</v>
      </c>
      <c r="F32" s="38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8"/>
      <c r="C33" s="38"/>
      <c r="D33" s="38"/>
      <c r="E33" s="38"/>
      <c r="F33" s="38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44">
        <v>45927.0</v>
      </c>
      <c r="C34" s="8" t="s">
        <v>469</v>
      </c>
      <c r="D34" s="8">
        <v>117.01</v>
      </c>
      <c r="E34" s="45" t="s">
        <v>320</v>
      </c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50" t="s">
        <v>6</v>
      </c>
      <c r="D35" s="51">
        <f>SUM(D34)</f>
        <v>117.01</v>
      </c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82" t="s">
        <v>430</v>
      </c>
      <c r="D37" s="83">
        <f>D32+D35</f>
        <v>2338.36</v>
      </c>
      <c r="E37" s="3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E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38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8"/>
      <c r="C47" s="38"/>
      <c r="D47" s="38"/>
      <c r="E47" s="38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8"/>
      <c r="C48" s="38"/>
      <c r="D48" s="38"/>
      <c r="E48" s="38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8"/>
      <c r="C49" s="38"/>
      <c r="D49" s="38"/>
      <c r="E49" s="38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38"/>
      <c r="D50" s="38"/>
      <c r="E50" s="38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8"/>
      <c r="C51" s="38"/>
      <c r="D51" s="38"/>
      <c r="E51" s="38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8"/>
      <c r="C52" s="38"/>
      <c r="D52" s="38"/>
      <c r="E52" s="38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8"/>
      <c r="C53" s="38"/>
      <c r="D53" s="38"/>
      <c r="E53" s="38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8"/>
      <c r="H1001" s="39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8"/>
      <c r="H1002" s="39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</sheetData>
  <autoFilter ref="$B$2:$G$28">
    <sortState ref="B2:G28">
      <sortCondition ref="E2:E28"/>
      <sortCondition ref="B2:B28"/>
      <sortCondition ref="F2:F28"/>
      <sortCondition ref="C2:C28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46018.0</v>
      </c>
      <c r="B2" s="5" t="s">
        <v>549</v>
      </c>
      <c r="C2" s="6">
        <v>67.1</v>
      </c>
      <c r="D2" s="5" t="s">
        <v>550</v>
      </c>
      <c r="F2" s="28" t="s">
        <v>145</v>
      </c>
      <c r="G2" s="29">
        <f>SUM(C:C)</f>
        <v>9083.11</v>
      </c>
      <c r="J2" s="60" t="s">
        <v>324</v>
      </c>
      <c r="L2" s="27"/>
    </row>
    <row r="3">
      <c r="A3" s="4">
        <v>46018.0</v>
      </c>
      <c r="B3" s="5" t="s">
        <v>551</v>
      </c>
      <c r="C3" s="6">
        <v>75.5</v>
      </c>
      <c r="D3" s="5" t="s">
        <v>550</v>
      </c>
      <c r="J3" s="5" t="s">
        <v>24</v>
      </c>
      <c r="K3" s="8">
        <v>1.0</v>
      </c>
      <c r="L3" s="27"/>
    </row>
    <row r="4">
      <c r="A4" s="4">
        <v>46018.0</v>
      </c>
      <c r="B4" s="5" t="s">
        <v>552</v>
      </c>
      <c r="C4" s="6">
        <v>48.0</v>
      </c>
      <c r="D4" s="5" t="s">
        <v>550</v>
      </c>
      <c r="J4" s="5" t="s">
        <v>28</v>
      </c>
      <c r="K4" s="8">
        <v>5043.25</v>
      </c>
      <c r="L4" s="27"/>
    </row>
    <row r="5">
      <c r="A5" s="4">
        <v>46018.0</v>
      </c>
      <c r="B5" s="5" t="s">
        <v>553</v>
      </c>
      <c r="C5" s="6">
        <v>432.82</v>
      </c>
      <c r="D5" s="5" t="s">
        <v>89</v>
      </c>
      <c r="J5" s="5" t="s">
        <v>7</v>
      </c>
      <c r="K5" s="8">
        <v>387.02</v>
      </c>
      <c r="L5" s="27"/>
    </row>
    <row r="6">
      <c r="A6" s="4">
        <v>46018.0</v>
      </c>
      <c r="B6" s="5" t="s">
        <v>554</v>
      </c>
      <c r="C6" s="6">
        <v>32.39</v>
      </c>
      <c r="D6" s="5" t="s">
        <v>67</v>
      </c>
      <c r="J6" s="5" t="s">
        <v>328</v>
      </c>
      <c r="K6" s="8"/>
      <c r="L6" s="27"/>
    </row>
    <row r="7">
      <c r="A7" s="4">
        <v>46018.0</v>
      </c>
      <c r="B7" s="5" t="s">
        <v>269</v>
      </c>
      <c r="C7" s="6">
        <v>236.7</v>
      </c>
      <c r="D7" s="5" t="s">
        <v>16</v>
      </c>
      <c r="J7" s="5" t="s">
        <v>330</v>
      </c>
      <c r="K7" s="8">
        <v>2665.5</v>
      </c>
      <c r="L7" s="27"/>
    </row>
    <row r="8">
      <c r="A8" s="4">
        <v>46018.0</v>
      </c>
      <c r="B8" s="5" t="s">
        <v>556</v>
      </c>
      <c r="C8" s="6">
        <v>70.51</v>
      </c>
      <c r="D8" s="5" t="s">
        <v>557</v>
      </c>
      <c r="J8" s="61" t="s">
        <v>179</v>
      </c>
      <c r="K8" s="62">
        <f>sum(K3:K7)</f>
        <v>8096.77</v>
      </c>
      <c r="L8" s="27"/>
    </row>
    <row r="9">
      <c r="A9" s="4">
        <v>46018.0</v>
      </c>
      <c r="B9" s="5" t="s">
        <v>559</v>
      </c>
      <c r="C9" s="6">
        <v>143.33</v>
      </c>
      <c r="D9" s="5" t="s">
        <v>16</v>
      </c>
      <c r="L9" s="27"/>
    </row>
    <row r="10">
      <c r="A10" s="4">
        <v>46018.0</v>
      </c>
      <c r="B10" s="5" t="s">
        <v>560</v>
      </c>
      <c r="C10" s="6">
        <v>222.08</v>
      </c>
      <c r="D10" s="5" t="s">
        <v>35</v>
      </c>
      <c r="J10" s="63" t="s">
        <v>334</v>
      </c>
      <c r="L10" s="27"/>
    </row>
    <row r="11">
      <c r="A11" s="4">
        <v>46018.0</v>
      </c>
      <c r="B11" s="5" t="s">
        <v>561</v>
      </c>
      <c r="C11" s="6">
        <v>112.6</v>
      </c>
      <c r="D11" s="5" t="s">
        <v>550</v>
      </c>
      <c r="J11" s="5" t="s">
        <v>6</v>
      </c>
      <c r="K11" s="8">
        <f>G2</f>
        <v>9083.11</v>
      </c>
      <c r="L11" s="27"/>
    </row>
    <row r="12">
      <c r="A12" s="4">
        <v>46018.0</v>
      </c>
      <c r="B12" s="5" t="s">
        <v>562</v>
      </c>
      <c r="C12" s="6">
        <v>315.59</v>
      </c>
      <c r="D12" s="5" t="s">
        <v>550</v>
      </c>
      <c r="J12" s="5" t="s">
        <v>13</v>
      </c>
      <c r="K12" s="8">
        <f>SUMIF(D:D, "Pedro", C:C)</f>
        <v>1874.72</v>
      </c>
      <c r="L12" s="27"/>
    </row>
    <row r="13">
      <c r="A13" s="4">
        <v>46018.0</v>
      </c>
      <c r="B13" s="5" t="s">
        <v>563</v>
      </c>
      <c r="C13" s="6">
        <v>113.19</v>
      </c>
      <c r="D13" s="5" t="s">
        <v>13</v>
      </c>
      <c r="J13" s="5" t="s">
        <v>564</v>
      </c>
      <c r="K13" s="8">
        <v>479.3</v>
      </c>
      <c r="L13" s="27"/>
    </row>
    <row r="14">
      <c r="A14" s="4">
        <v>46018.0</v>
      </c>
      <c r="B14" s="5" t="s">
        <v>565</v>
      </c>
      <c r="C14" s="6">
        <v>142.49</v>
      </c>
      <c r="D14" s="5" t="s">
        <v>566</v>
      </c>
      <c r="J14" s="5" t="s">
        <v>567</v>
      </c>
      <c r="K14" s="8">
        <f>314.25-125</f>
        <v>189.25</v>
      </c>
      <c r="L14" s="27"/>
    </row>
    <row r="15">
      <c r="A15" s="4">
        <v>46018.0</v>
      </c>
      <c r="B15" s="5" t="s">
        <v>556</v>
      </c>
      <c r="C15" s="6">
        <v>70.58</v>
      </c>
      <c r="D15" s="5" t="s">
        <v>557</v>
      </c>
      <c r="J15" s="5" t="s">
        <v>568</v>
      </c>
      <c r="K15" s="8">
        <v>121.2</v>
      </c>
      <c r="L15" s="27"/>
    </row>
    <row r="16">
      <c r="A16" s="4">
        <v>46018.0</v>
      </c>
      <c r="B16" s="5" t="s">
        <v>569</v>
      </c>
      <c r="C16" s="6">
        <v>96.05</v>
      </c>
      <c r="D16" s="5" t="s">
        <v>132</v>
      </c>
      <c r="J16" s="5" t="s">
        <v>570</v>
      </c>
      <c r="K16" s="8">
        <f>SUMIF(D:D, "Vander", C:C)</f>
        <v>0</v>
      </c>
    </row>
    <row r="17">
      <c r="A17" s="4">
        <v>46018.0</v>
      </c>
      <c r="B17" s="5" t="s">
        <v>571</v>
      </c>
      <c r="C17" s="6">
        <v>256.19</v>
      </c>
      <c r="D17" s="5" t="s">
        <v>5</v>
      </c>
      <c r="J17" s="5" t="s">
        <v>89</v>
      </c>
      <c r="K17" s="8">
        <f>SUMIF(D:D, "Mãe", C:C)</f>
        <v>432.82</v>
      </c>
    </row>
    <row r="18">
      <c r="A18" s="4">
        <v>46018.0</v>
      </c>
      <c r="B18" s="5" t="s">
        <v>573</v>
      </c>
      <c r="C18" s="6">
        <v>264.9</v>
      </c>
      <c r="D18" s="5" t="s">
        <v>13</v>
      </c>
      <c r="J18" s="5" t="s">
        <v>574</v>
      </c>
      <c r="K18" s="8">
        <v>483.83</v>
      </c>
    </row>
    <row r="19">
      <c r="A19" s="4">
        <v>46018.0</v>
      </c>
      <c r="B19" s="5" t="s">
        <v>575</v>
      </c>
      <c r="C19" s="6">
        <v>93.92</v>
      </c>
      <c r="D19" s="5" t="s">
        <v>516</v>
      </c>
      <c r="J19" s="5" t="s">
        <v>338</v>
      </c>
      <c r="K19" s="8">
        <f>sum(K12:K14)</f>
        <v>2543.27</v>
      </c>
    </row>
    <row r="20">
      <c r="A20" s="4">
        <v>46018.0</v>
      </c>
      <c r="B20" s="5" t="s">
        <v>576</v>
      </c>
      <c r="C20" s="6">
        <v>243.67</v>
      </c>
      <c r="D20" s="5" t="s">
        <v>12</v>
      </c>
      <c r="J20" s="64" t="s">
        <v>19</v>
      </c>
      <c r="K20" s="65">
        <f>K11-K19</f>
        <v>6539.84</v>
      </c>
      <c r="L20" s="27"/>
    </row>
    <row r="21">
      <c r="A21" s="4">
        <v>46018.0</v>
      </c>
      <c r="B21" s="5" t="s">
        <v>578</v>
      </c>
      <c r="C21" s="6">
        <v>146.24</v>
      </c>
      <c r="D21" s="5" t="s">
        <v>13</v>
      </c>
      <c r="L21" s="27"/>
    </row>
    <row r="22">
      <c r="A22" s="4">
        <v>46018.0</v>
      </c>
      <c r="B22" s="5" t="s">
        <v>580</v>
      </c>
      <c r="C22" s="6">
        <v>32.39</v>
      </c>
      <c r="D22" s="5" t="s">
        <v>13</v>
      </c>
      <c r="J22" s="66" t="s">
        <v>340</v>
      </c>
      <c r="K22" s="67"/>
      <c r="L22" s="27"/>
    </row>
    <row r="23">
      <c r="A23" s="4">
        <v>46018.0</v>
      </c>
      <c r="B23" s="5" t="s">
        <v>581</v>
      </c>
      <c r="C23" s="6">
        <v>96.63</v>
      </c>
      <c r="D23" s="5" t="s">
        <v>16</v>
      </c>
      <c r="J23" s="8" t="s">
        <v>6</v>
      </c>
      <c r="K23" s="8">
        <v>337.96</v>
      </c>
      <c r="L23" s="27"/>
    </row>
    <row r="24">
      <c r="A24" s="4">
        <v>46018.0</v>
      </c>
      <c r="B24" s="5" t="s">
        <v>582</v>
      </c>
      <c r="C24" s="6">
        <v>47.72</v>
      </c>
      <c r="D24" s="5" t="s">
        <v>35</v>
      </c>
      <c r="J24" s="8" t="s">
        <v>583</v>
      </c>
      <c r="K24" s="8">
        <v>117.01</v>
      </c>
      <c r="L24" s="27"/>
    </row>
    <row r="25">
      <c r="A25" s="4">
        <v>46018.0</v>
      </c>
      <c r="B25" s="5" t="s">
        <v>584</v>
      </c>
      <c r="C25" s="6">
        <v>6.9</v>
      </c>
      <c r="D25" s="5" t="s">
        <v>13</v>
      </c>
      <c r="J25" s="5" t="s">
        <v>338</v>
      </c>
      <c r="K25" s="8">
        <f>sum(K24)</f>
        <v>117.01</v>
      </c>
      <c r="L25" s="27"/>
    </row>
    <row r="26">
      <c r="A26" s="4">
        <v>46018.0</v>
      </c>
      <c r="B26" s="5" t="s">
        <v>219</v>
      </c>
      <c r="C26" s="6">
        <v>40.9</v>
      </c>
      <c r="D26" s="5" t="s">
        <v>67</v>
      </c>
      <c r="J26" s="64" t="s">
        <v>353</v>
      </c>
      <c r="K26" s="65">
        <f>K23-K25</f>
        <v>220.95</v>
      </c>
      <c r="L26" s="27"/>
    </row>
    <row r="27">
      <c r="A27" s="4">
        <v>46018.0</v>
      </c>
      <c r="B27" s="5" t="s">
        <v>585</v>
      </c>
      <c r="C27" s="6">
        <v>650.33</v>
      </c>
      <c r="D27" s="5" t="s">
        <v>570</v>
      </c>
      <c r="L27" s="27"/>
    </row>
    <row r="28">
      <c r="A28" s="4">
        <v>46018.0</v>
      </c>
      <c r="B28" s="5" t="s">
        <v>586</v>
      </c>
      <c r="C28" s="6">
        <v>76.33</v>
      </c>
      <c r="D28" s="5" t="s">
        <v>12</v>
      </c>
      <c r="J28" s="68" t="s">
        <v>356</v>
      </c>
      <c r="K28" s="65">
        <f>K26+K20</f>
        <v>6760.79</v>
      </c>
      <c r="L28" s="27"/>
    </row>
    <row r="29">
      <c r="A29" s="4">
        <v>46019.0</v>
      </c>
      <c r="B29" s="5" t="s">
        <v>587</v>
      </c>
      <c r="C29" s="6">
        <v>298.1</v>
      </c>
      <c r="D29" s="5" t="s">
        <v>550</v>
      </c>
      <c r="L29" s="27"/>
    </row>
    <row r="30">
      <c r="A30" s="4">
        <v>46019.0</v>
      </c>
      <c r="B30" s="5" t="s">
        <v>588</v>
      </c>
      <c r="C30" s="6">
        <v>31.67</v>
      </c>
      <c r="D30" s="5" t="s">
        <v>550</v>
      </c>
      <c r="J30" s="69" t="s">
        <v>359</v>
      </c>
      <c r="K30" s="67"/>
      <c r="L30" s="70" t="s">
        <v>360</v>
      </c>
    </row>
    <row r="31">
      <c r="A31" s="4">
        <v>46019.0</v>
      </c>
      <c r="B31" s="5" t="s">
        <v>589</v>
      </c>
      <c r="C31" s="6">
        <v>1.17</v>
      </c>
      <c r="D31" s="5" t="s">
        <v>550</v>
      </c>
      <c r="J31" s="5" t="s">
        <v>361</v>
      </c>
      <c r="K31" s="8">
        <v>85.0</v>
      </c>
      <c r="L31" s="71" t="s">
        <v>362</v>
      </c>
    </row>
    <row r="32">
      <c r="A32" s="4">
        <v>46019.0</v>
      </c>
      <c r="B32" s="5" t="s">
        <v>551</v>
      </c>
      <c r="C32" s="6">
        <v>82.0</v>
      </c>
      <c r="D32" s="5" t="s">
        <v>550</v>
      </c>
      <c r="J32" s="5" t="s">
        <v>363</v>
      </c>
      <c r="K32" s="8">
        <v>119.77</v>
      </c>
      <c r="L32" s="71" t="s">
        <v>362</v>
      </c>
    </row>
    <row r="33">
      <c r="A33" s="4">
        <v>46019.0</v>
      </c>
      <c r="B33" s="5" t="s">
        <v>590</v>
      </c>
      <c r="C33" s="6">
        <v>6.99</v>
      </c>
      <c r="D33" s="5" t="s">
        <v>550</v>
      </c>
      <c r="J33" s="5" t="s">
        <v>367</v>
      </c>
      <c r="K33" s="8">
        <v>74.9</v>
      </c>
      <c r="L33" s="71" t="s">
        <v>362</v>
      </c>
    </row>
    <row r="34">
      <c r="A34" s="4">
        <v>46019.0</v>
      </c>
      <c r="B34" s="5" t="s">
        <v>551</v>
      </c>
      <c r="C34" s="6">
        <v>14.0</v>
      </c>
      <c r="D34" s="5" t="s">
        <v>550</v>
      </c>
      <c r="J34" s="5" t="s">
        <v>368</v>
      </c>
      <c r="K34" s="8">
        <v>195.0</v>
      </c>
      <c r="L34" s="71" t="s">
        <v>362</v>
      </c>
    </row>
    <row r="35">
      <c r="A35" s="4">
        <v>46019.0</v>
      </c>
      <c r="B35" s="5" t="s">
        <v>591</v>
      </c>
      <c r="C35" s="6">
        <v>292.07</v>
      </c>
      <c r="D35" s="5" t="s">
        <v>550</v>
      </c>
      <c r="J35" s="5" t="s">
        <v>370</v>
      </c>
      <c r="K35" s="8">
        <v>60.0</v>
      </c>
      <c r="L35" s="71" t="s">
        <v>362</v>
      </c>
    </row>
    <row r="36">
      <c r="A36" s="4">
        <v>46020.0</v>
      </c>
      <c r="B36" s="5" t="s">
        <v>592</v>
      </c>
      <c r="C36" s="6">
        <v>111.31</v>
      </c>
      <c r="D36" s="5" t="s">
        <v>550</v>
      </c>
      <c r="J36" s="5" t="s">
        <v>365</v>
      </c>
      <c r="K36" s="8">
        <v>103.33</v>
      </c>
      <c r="L36" s="94" t="s">
        <v>362</v>
      </c>
    </row>
    <row r="37">
      <c r="A37" s="4">
        <v>46020.0</v>
      </c>
      <c r="B37" s="5" t="s">
        <v>592</v>
      </c>
      <c r="C37" s="6">
        <v>13.4</v>
      </c>
      <c r="D37" s="5" t="s">
        <v>550</v>
      </c>
      <c r="J37" s="72" t="s">
        <v>6</v>
      </c>
      <c r="K37" s="73">
        <f>SUMIF(L2:L90,"pendente",K2:K93)</f>
        <v>0</v>
      </c>
    </row>
    <row r="38">
      <c r="A38" s="4">
        <v>46020.0</v>
      </c>
      <c r="B38" s="5" t="s">
        <v>593</v>
      </c>
      <c r="C38" s="6">
        <v>96.7</v>
      </c>
      <c r="D38" s="5" t="s">
        <v>550</v>
      </c>
      <c r="L38" s="27"/>
    </row>
    <row r="39">
      <c r="A39" s="4">
        <v>46020.0</v>
      </c>
      <c r="B39" s="5" t="s">
        <v>551</v>
      </c>
      <c r="C39" s="6">
        <v>32.0</v>
      </c>
      <c r="D39" s="5" t="s">
        <v>550</v>
      </c>
      <c r="J39" s="30" t="s">
        <v>371</v>
      </c>
      <c r="K39" s="74">
        <f>K28+K37</f>
        <v>6760.79</v>
      </c>
      <c r="L39" s="27"/>
    </row>
    <row r="40">
      <c r="A40" s="4">
        <v>46020.0</v>
      </c>
      <c r="B40" s="5" t="s">
        <v>594</v>
      </c>
      <c r="C40" s="6">
        <v>13.5</v>
      </c>
      <c r="D40" s="5" t="s">
        <v>550</v>
      </c>
      <c r="J40" s="30" t="s">
        <v>373</v>
      </c>
      <c r="K40" s="75">
        <f>K8</f>
        <v>8096.77</v>
      </c>
      <c r="L40" s="27"/>
    </row>
    <row r="41">
      <c r="A41" s="4">
        <v>46020.0</v>
      </c>
      <c r="B41" s="5" t="s">
        <v>77</v>
      </c>
      <c r="C41" s="6">
        <v>9.0</v>
      </c>
      <c r="D41" s="5" t="s">
        <v>67</v>
      </c>
      <c r="J41" s="30" t="s">
        <v>47</v>
      </c>
      <c r="K41" s="76">
        <f>K40-K39</f>
        <v>1335.98</v>
      </c>
      <c r="L41" s="27"/>
    </row>
    <row r="42">
      <c r="A42" s="4">
        <v>46020.0</v>
      </c>
      <c r="B42" s="5" t="s">
        <v>595</v>
      </c>
      <c r="C42" s="6">
        <v>25.49</v>
      </c>
      <c r="D42" s="5" t="s">
        <v>550</v>
      </c>
      <c r="L42" s="27"/>
    </row>
    <row r="43">
      <c r="A43" s="4">
        <v>46020.0</v>
      </c>
      <c r="B43" s="5" t="s">
        <v>596</v>
      </c>
      <c r="C43" s="6">
        <v>45.0</v>
      </c>
      <c r="D43" s="5" t="s">
        <v>550</v>
      </c>
      <c r="L43" s="27"/>
    </row>
    <row r="44">
      <c r="A44" s="4">
        <v>46021.0</v>
      </c>
      <c r="B44" s="5" t="s">
        <v>597</v>
      </c>
      <c r="C44" s="6">
        <v>110.0</v>
      </c>
      <c r="D44" s="5" t="s">
        <v>550</v>
      </c>
      <c r="L44" s="27"/>
    </row>
    <row r="45">
      <c r="A45" s="4">
        <v>46021.0</v>
      </c>
      <c r="B45" s="5" t="s">
        <v>598</v>
      </c>
      <c r="C45" s="6">
        <v>75.0</v>
      </c>
      <c r="D45" s="5" t="s">
        <v>550</v>
      </c>
      <c r="L45" s="27"/>
    </row>
    <row r="46">
      <c r="A46" s="4">
        <v>46021.0</v>
      </c>
      <c r="B46" s="5" t="s">
        <v>589</v>
      </c>
      <c r="C46" s="6">
        <v>40.0</v>
      </c>
      <c r="D46" s="5" t="s">
        <v>550</v>
      </c>
      <c r="L46" s="27"/>
    </row>
    <row r="47">
      <c r="A47" s="4">
        <v>46021.0</v>
      </c>
      <c r="B47" s="5" t="s">
        <v>551</v>
      </c>
      <c r="C47" s="6">
        <v>13.0</v>
      </c>
      <c r="D47" s="5" t="s">
        <v>550</v>
      </c>
      <c r="L47" s="27"/>
    </row>
    <row r="48">
      <c r="A48" s="4">
        <v>46021.0</v>
      </c>
      <c r="B48" s="5" t="s">
        <v>592</v>
      </c>
      <c r="C48" s="6">
        <v>94.7</v>
      </c>
      <c r="D48" s="5" t="s">
        <v>550</v>
      </c>
      <c r="L48" s="27"/>
    </row>
    <row r="49">
      <c r="A49" s="4">
        <v>46021.0</v>
      </c>
      <c r="B49" s="5" t="s">
        <v>599</v>
      </c>
      <c r="C49" s="6">
        <v>174.0</v>
      </c>
      <c r="D49" s="5" t="s">
        <v>550</v>
      </c>
      <c r="L49" s="27"/>
    </row>
    <row r="50">
      <c r="A50" s="4">
        <v>46022.0</v>
      </c>
      <c r="B50" s="5" t="s">
        <v>551</v>
      </c>
      <c r="C50" s="6">
        <v>52.0</v>
      </c>
      <c r="D50" s="5" t="s">
        <v>550</v>
      </c>
      <c r="L50" s="27"/>
    </row>
    <row r="51">
      <c r="A51" s="4">
        <v>46022.0</v>
      </c>
      <c r="B51" s="5" t="s">
        <v>592</v>
      </c>
      <c r="C51" s="6">
        <v>33.59</v>
      </c>
      <c r="D51" s="5" t="s">
        <v>550</v>
      </c>
      <c r="L51" s="27"/>
    </row>
    <row r="52">
      <c r="A52" s="4">
        <v>46022.0</v>
      </c>
      <c r="B52" s="5" t="s">
        <v>253</v>
      </c>
      <c r="C52" s="6">
        <v>26.24</v>
      </c>
      <c r="D52" s="5" t="s">
        <v>550</v>
      </c>
      <c r="L52" s="27"/>
    </row>
    <row r="53">
      <c r="A53" s="4">
        <v>46022.0</v>
      </c>
      <c r="B53" s="5" t="s">
        <v>600</v>
      </c>
      <c r="C53" s="6">
        <v>316.0</v>
      </c>
      <c r="D53" s="5" t="s">
        <v>550</v>
      </c>
      <c r="L53" s="27"/>
    </row>
    <row r="54">
      <c r="A54" s="4">
        <v>46022.0</v>
      </c>
      <c r="B54" s="5" t="s">
        <v>551</v>
      </c>
      <c r="C54" s="6">
        <v>13.0</v>
      </c>
      <c r="D54" s="5" t="s">
        <v>550</v>
      </c>
      <c r="L54" s="27"/>
    </row>
    <row r="55">
      <c r="A55" s="4">
        <v>46023.0</v>
      </c>
      <c r="B55" s="5" t="s">
        <v>532</v>
      </c>
      <c r="C55" s="6">
        <v>5.5</v>
      </c>
      <c r="D55" s="5" t="s">
        <v>550</v>
      </c>
      <c r="K55" s="3"/>
      <c r="L55" s="27"/>
    </row>
    <row r="56">
      <c r="A56" s="4">
        <v>46023.0</v>
      </c>
      <c r="B56" s="5" t="s">
        <v>601</v>
      </c>
      <c r="C56" s="6">
        <v>40.0</v>
      </c>
      <c r="D56" s="5" t="s">
        <v>550</v>
      </c>
      <c r="K56" s="3"/>
      <c r="L56" s="27"/>
    </row>
    <row r="57">
      <c r="A57" s="4">
        <v>46023.0</v>
      </c>
      <c r="B57" s="5" t="s">
        <v>592</v>
      </c>
      <c r="C57" s="6">
        <v>135.93</v>
      </c>
      <c r="D57" s="5" t="s">
        <v>550</v>
      </c>
      <c r="K57" s="3"/>
      <c r="L57" s="27"/>
    </row>
    <row r="58">
      <c r="A58" s="4">
        <v>46023.0</v>
      </c>
      <c r="B58" s="5" t="s">
        <v>551</v>
      </c>
      <c r="C58" s="6">
        <v>350.0</v>
      </c>
      <c r="D58" s="5" t="s">
        <v>550</v>
      </c>
      <c r="K58" s="3"/>
      <c r="L58" s="27"/>
    </row>
    <row r="59">
      <c r="A59" s="4">
        <v>46024.0</v>
      </c>
      <c r="B59" s="5" t="s">
        <v>532</v>
      </c>
      <c r="C59" s="6">
        <v>5.5</v>
      </c>
      <c r="D59" s="5" t="s">
        <v>550</v>
      </c>
      <c r="K59" s="3"/>
      <c r="L59" s="27"/>
    </row>
    <row r="60">
      <c r="A60" s="4">
        <v>46024.0</v>
      </c>
      <c r="B60" s="5" t="s">
        <v>532</v>
      </c>
      <c r="C60" s="6">
        <v>12.3</v>
      </c>
      <c r="D60" s="5" t="s">
        <v>550</v>
      </c>
      <c r="K60" s="3"/>
      <c r="L60" s="27"/>
    </row>
    <row r="61">
      <c r="A61" s="4">
        <v>46024.0</v>
      </c>
      <c r="B61" s="5" t="s">
        <v>532</v>
      </c>
      <c r="C61" s="6">
        <v>5.8</v>
      </c>
      <c r="D61" s="5" t="s">
        <v>550</v>
      </c>
      <c r="K61" s="3"/>
      <c r="L61" s="27"/>
    </row>
    <row r="62">
      <c r="A62" s="4">
        <v>46024.0</v>
      </c>
      <c r="B62" s="5" t="s">
        <v>532</v>
      </c>
      <c r="C62" s="6">
        <v>5.7</v>
      </c>
      <c r="D62" s="5" t="s">
        <v>550</v>
      </c>
      <c r="K62" s="3"/>
      <c r="L62" s="27"/>
    </row>
    <row r="63">
      <c r="A63" s="4">
        <v>46024.0</v>
      </c>
      <c r="B63" s="5" t="s">
        <v>532</v>
      </c>
      <c r="C63" s="6">
        <v>5.4</v>
      </c>
      <c r="D63" s="5" t="s">
        <v>550</v>
      </c>
      <c r="K63" s="3"/>
      <c r="L63" s="27"/>
    </row>
    <row r="64">
      <c r="A64" s="4">
        <v>46024.0</v>
      </c>
      <c r="B64" s="5" t="s">
        <v>532</v>
      </c>
      <c r="C64" s="6">
        <v>5.4</v>
      </c>
      <c r="D64" s="5" t="s">
        <v>550</v>
      </c>
      <c r="K64" s="3"/>
      <c r="L64" s="27"/>
    </row>
    <row r="65">
      <c r="A65" s="4">
        <v>46024.0</v>
      </c>
      <c r="B65" s="5" t="s">
        <v>602</v>
      </c>
      <c r="C65" s="6">
        <v>32.48</v>
      </c>
      <c r="D65" s="5" t="s">
        <v>550</v>
      </c>
      <c r="K65" s="3"/>
      <c r="L65" s="27"/>
    </row>
    <row r="66">
      <c r="A66" s="4">
        <v>46024.0</v>
      </c>
      <c r="B66" s="5" t="s">
        <v>603</v>
      </c>
      <c r="C66" s="6">
        <v>44.0</v>
      </c>
      <c r="D66" s="5" t="s">
        <v>550</v>
      </c>
      <c r="K66" s="3"/>
      <c r="L66" s="27"/>
    </row>
    <row r="67">
      <c r="A67" s="4">
        <v>46024.0</v>
      </c>
      <c r="B67" s="5" t="s">
        <v>592</v>
      </c>
      <c r="C67" s="6">
        <v>20.16</v>
      </c>
      <c r="D67" s="5" t="s">
        <v>550</v>
      </c>
      <c r="K67" s="3"/>
      <c r="L67" s="27"/>
    </row>
    <row r="68">
      <c r="A68" s="4">
        <v>46024.0</v>
      </c>
      <c r="B68" s="5" t="s">
        <v>99</v>
      </c>
      <c r="C68" s="6">
        <v>53.9</v>
      </c>
      <c r="D68" s="5" t="s">
        <v>67</v>
      </c>
      <c r="K68" s="3"/>
      <c r="L68" s="27"/>
    </row>
    <row r="69">
      <c r="A69" s="4">
        <v>46024.0</v>
      </c>
      <c r="B69" s="5" t="s">
        <v>551</v>
      </c>
      <c r="C69" s="6">
        <v>28.0</v>
      </c>
      <c r="D69" s="5" t="s">
        <v>550</v>
      </c>
      <c r="K69" s="3"/>
      <c r="L69" s="27"/>
    </row>
    <row r="70">
      <c r="A70" s="4">
        <v>46025.0</v>
      </c>
      <c r="B70" s="5" t="s">
        <v>604</v>
      </c>
      <c r="C70" s="6">
        <v>-40.0</v>
      </c>
      <c r="D70" s="5" t="s">
        <v>550</v>
      </c>
      <c r="K70" s="3"/>
      <c r="L70" s="27"/>
    </row>
    <row r="71">
      <c r="A71" s="4">
        <v>46025.0</v>
      </c>
      <c r="B71" s="5" t="s">
        <v>604</v>
      </c>
      <c r="C71" s="6">
        <v>-48.0</v>
      </c>
      <c r="D71" s="5" t="s">
        <v>550</v>
      </c>
      <c r="K71" s="3"/>
      <c r="L71" s="27"/>
    </row>
    <row r="72">
      <c r="A72" s="4">
        <v>46025.0</v>
      </c>
      <c r="B72" s="5" t="s">
        <v>604</v>
      </c>
      <c r="C72" s="6">
        <v>-292.07</v>
      </c>
      <c r="D72" s="5" t="s">
        <v>550</v>
      </c>
      <c r="K72" s="3"/>
      <c r="L72" s="27"/>
    </row>
    <row r="73">
      <c r="A73" s="4">
        <v>46025.0</v>
      </c>
      <c r="B73" s="5" t="s">
        <v>604</v>
      </c>
      <c r="C73" s="6">
        <v>-96.7</v>
      </c>
      <c r="D73" s="5" t="s">
        <v>550</v>
      </c>
      <c r="K73" s="3"/>
      <c r="L73" s="27"/>
    </row>
    <row r="74">
      <c r="A74" s="4">
        <v>46025.0</v>
      </c>
      <c r="B74" s="5" t="s">
        <v>604</v>
      </c>
      <c r="C74" s="6">
        <v>-94.7</v>
      </c>
      <c r="D74" s="5" t="s">
        <v>550</v>
      </c>
      <c r="K74" s="3"/>
      <c r="L74" s="27"/>
    </row>
    <row r="75">
      <c r="A75" s="4">
        <v>46025.0</v>
      </c>
      <c r="B75" s="5" t="s">
        <v>604</v>
      </c>
      <c r="C75" s="6">
        <v>-75.5</v>
      </c>
      <c r="D75" s="5" t="s">
        <v>550</v>
      </c>
      <c r="K75" s="3"/>
      <c r="L75" s="27"/>
    </row>
    <row r="76">
      <c r="A76" s="4">
        <v>46025.0</v>
      </c>
      <c r="B76" s="5" t="s">
        <v>604</v>
      </c>
      <c r="C76" s="6">
        <v>-350.0</v>
      </c>
      <c r="D76" s="5" t="s">
        <v>550</v>
      </c>
      <c r="K76" s="3"/>
      <c r="L76" s="27"/>
    </row>
    <row r="77">
      <c r="A77" s="4">
        <v>46025.0</v>
      </c>
      <c r="B77" s="5" t="s">
        <v>604</v>
      </c>
      <c r="C77" s="6">
        <v>-315.59</v>
      </c>
      <c r="D77" s="5" t="s">
        <v>550</v>
      </c>
      <c r="K77" s="3"/>
      <c r="L77" s="27"/>
    </row>
    <row r="78">
      <c r="A78" s="4">
        <v>46025.0</v>
      </c>
      <c r="B78" s="5" t="s">
        <v>604</v>
      </c>
      <c r="C78" s="6">
        <v>-45.0</v>
      </c>
      <c r="D78" s="5" t="s">
        <v>550</v>
      </c>
      <c r="K78" s="3"/>
      <c r="L78" s="27"/>
    </row>
    <row r="79">
      <c r="A79" s="4">
        <v>46025.0</v>
      </c>
      <c r="B79" s="5" t="s">
        <v>604</v>
      </c>
      <c r="C79" s="6">
        <v>-52.0</v>
      </c>
      <c r="D79" s="5" t="s">
        <v>550</v>
      </c>
      <c r="K79" s="3"/>
      <c r="L79" s="27"/>
    </row>
    <row r="80">
      <c r="A80" s="4">
        <v>46025.0</v>
      </c>
      <c r="B80" s="5" t="s">
        <v>604</v>
      </c>
      <c r="C80" s="6">
        <v>-75.0</v>
      </c>
      <c r="D80" s="5" t="s">
        <v>550</v>
      </c>
      <c r="K80" s="3"/>
      <c r="L80" s="27"/>
    </row>
    <row r="81">
      <c r="A81" s="4">
        <v>46025.0</v>
      </c>
      <c r="B81" s="5" t="s">
        <v>604</v>
      </c>
      <c r="C81" s="6">
        <v>-67.1</v>
      </c>
      <c r="D81" s="5" t="s">
        <v>550</v>
      </c>
      <c r="K81" s="3"/>
      <c r="L81" s="27"/>
    </row>
    <row r="82">
      <c r="A82" s="4">
        <v>46025.0</v>
      </c>
      <c r="B82" s="5" t="s">
        <v>604</v>
      </c>
      <c r="C82" s="6">
        <v>-135.93</v>
      </c>
      <c r="D82" s="5" t="s">
        <v>550</v>
      </c>
      <c r="K82" s="3"/>
      <c r="L82" s="27"/>
    </row>
    <row r="83">
      <c r="A83" s="4">
        <v>46025.0</v>
      </c>
      <c r="B83" s="5" t="s">
        <v>604</v>
      </c>
      <c r="C83" s="6">
        <v>-31.67</v>
      </c>
      <c r="D83" s="5" t="s">
        <v>550</v>
      </c>
      <c r="K83" s="3"/>
      <c r="L83" s="27"/>
    </row>
    <row r="84">
      <c r="A84" s="4">
        <v>46025.0</v>
      </c>
      <c r="B84" s="5" t="s">
        <v>604</v>
      </c>
      <c r="C84" s="6">
        <v>-110.0</v>
      </c>
      <c r="D84" s="5" t="s">
        <v>550</v>
      </c>
      <c r="K84" s="3"/>
      <c r="L84" s="27"/>
    </row>
    <row r="85">
      <c r="A85" s="4">
        <v>46025.0</v>
      </c>
      <c r="B85" s="5" t="s">
        <v>604</v>
      </c>
      <c r="C85" s="6">
        <v>-111.31</v>
      </c>
      <c r="D85" s="5" t="s">
        <v>550</v>
      </c>
      <c r="K85" s="3"/>
      <c r="L85" s="27"/>
    </row>
    <row r="86">
      <c r="A86" s="4">
        <v>46025.0</v>
      </c>
      <c r="B86" s="5" t="s">
        <v>604</v>
      </c>
      <c r="C86" s="6">
        <v>-174.0</v>
      </c>
      <c r="D86" s="5" t="s">
        <v>550</v>
      </c>
      <c r="K86" s="3"/>
      <c r="L86" s="27"/>
    </row>
    <row r="87">
      <c r="A87" s="4">
        <v>46025.0</v>
      </c>
      <c r="B87" s="5" t="s">
        <v>604</v>
      </c>
      <c r="C87" s="6">
        <v>-32.48</v>
      </c>
      <c r="D87" s="5" t="s">
        <v>550</v>
      </c>
      <c r="K87" s="3"/>
      <c r="L87" s="27"/>
    </row>
    <row r="88">
      <c r="A88" s="4">
        <v>46025.0</v>
      </c>
      <c r="B88" s="5" t="s">
        <v>604</v>
      </c>
      <c r="C88" s="6">
        <v>-82.0</v>
      </c>
      <c r="D88" s="5" t="s">
        <v>550</v>
      </c>
      <c r="K88" s="3"/>
      <c r="L88" s="27"/>
    </row>
    <row r="89">
      <c r="A89" s="4">
        <v>46025.0</v>
      </c>
      <c r="B89" s="5" t="s">
        <v>604</v>
      </c>
      <c r="C89" s="6">
        <v>-44.0</v>
      </c>
      <c r="D89" s="5" t="s">
        <v>550</v>
      </c>
      <c r="K89" s="3"/>
      <c r="L89" s="27"/>
    </row>
    <row r="90">
      <c r="A90" s="4">
        <v>46025.0</v>
      </c>
      <c r="B90" s="5" t="s">
        <v>604</v>
      </c>
      <c r="C90" s="6">
        <v>-32.0</v>
      </c>
      <c r="D90" s="5" t="s">
        <v>550</v>
      </c>
      <c r="K90" s="3"/>
      <c r="L90" s="27"/>
    </row>
    <row r="91">
      <c r="A91" s="4">
        <v>46025.0</v>
      </c>
      <c r="B91" s="5" t="s">
        <v>604</v>
      </c>
      <c r="C91" s="6">
        <v>-316.0</v>
      </c>
      <c r="D91" s="5" t="s">
        <v>550</v>
      </c>
      <c r="K91" s="3"/>
      <c r="L91" s="27"/>
    </row>
    <row r="92">
      <c r="A92" s="4">
        <v>46025.0</v>
      </c>
      <c r="B92" s="5" t="s">
        <v>604</v>
      </c>
      <c r="C92" s="6">
        <v>-298.1</v>
      </c>
      <c r="D92" s="5" t="s">
        <v>550</v>
      </c>
      <c r="K92" s="3"/>
      <c r="L92" s="27"/>
    </row>
    <row r="93">
      <c r="A93" s="4">
        <v>46025.0</v>
      </c>
      <c r="B93" s="5" t="s">
        <v>604</v>
      </c>
      <c r="C93" s="6">
        <v>-33.59</v>
      </c>
      <c r="D93" s="5" t="s">
        <v>550</v>
      </c>
      <c r="K93" s="3"/>
      <c r="L93" s="27"/>
    </row>
    <row r="94">
      <c r="A94" s="4">
        <v>46025.0</v>
      </c>
      <c r="B94" s="5" t="s">
        <v>604</v>
      </c>
      <c r="C94" s="6">
        <v>-236.7</v>
      </c>
      <c r="D94" s="5" t="s">
        <v>550</v>
      </c>
      <c r="K94" s="3"/>
      <c r="L94" s="27"/>
    </row>
    <row r="95">
      <c r="A95" s="4">
        <v>46025.0</v>
      </c>
      <c r="B95" s="5" t="s">
        <v>604</v>
      </c>
      <c r="C95" s="6">
        <v>-40.0</v>
      </c>
      <c r="D95" s="5" t="s">
        <v>550</v>
      </c>
      <c r="K95" s="3"/>
      <c r="L95" s="27"/>
    </row>
    <row r="96">
      <c r="A96" s="4">
        <v>46025.0</v>
      </c>
      <c r="B96" s="5" t="s">
        <v>605</v>
      </c>
      <c r="C96" s="6">
        <v>15.83</v>
      </c>
      <c r="D96" s="5" t="s">
        <v>550</v>
      </c>
      <c r="K96" s="3"/>
      <c r="L96" s="27"/>
    </row>
    <row r="97">
      <c r="A97" s="4">
        <v>46025.0</v>
      </c>
      <c r="B97" s="5" t="s">
        <v>606</v>
      </c>
      <c r="C97" s="6">
        <v>16.88</v>
      </c>
      <c r="D97" s="5" t="s">
        <v>550</v>
      </c>
      <c r="K97" s="3"/>
      <c r="L97" s="27"/>
    </row>
    <row r="98">
      <c r="A98" s="4">
        <v>46025.0</v>
      </c>
      <c r="B98" s="5" t="s">
        <v>607</v>
      </c>
      <c r="C98" s="6">
        <v>12.99</v>
      </c>
      <c r="D98" s="5" t="s">
        <v>550</v>
      </c>
      <c r="K98" s="3"/>
      <c r="L98" s="27"/>
    </row>
    <row r="99">
      <c r="A99" s="4">
        <v>46025.0</v>
      </c>
      <c r="B99" s="5" t="s">
        <v>608</v>
      </c>
      <c r="C99" s="6">
        <v>33.31</v>
      </c>
      <c r="D99" s="5" t="s">
        <v>550</v>
      </c>
      <c r="K99" s="3"/>
      <c r="L99" s="27"/>
    </row>
    <row r="100">
      <c r="A100" s="4">
        <v>46025.0</v>
      </c>
      <c r="B100" s="5" t="s">
        <v>609</v>
      </c>
      <c r="C100" s="6">
        <v>26.56</v>
      </c>
      <c r="D100" s="5" t="s">
        <v>550</v>
      </c>
      <c r="K100" s="3"/>
      <c r="L100" s="27"/>
    </row>
    <row r="101">
      <c r="A101" s="4">
        <v>46025.0</v>
      </c>
      <c r="B101" s="5" t="s">
        <v>610</v>
      </c>
      <c r="C101" s="6">
        <v>34.02</v>
      </c>
      <c r="D101" s="5" t="s">
        <v>550</v>
      </c>
      <c r="K101" s="3"/>
      <c r="L101" s="27"/>
    </row>
    <row r="102">
      <c r="A102" s="4">
        <v>46025.0</v>
      </c>
      <c r="B102" s="5" t="s">
        <v>40</v>
      </c>
      <c r="C102" s="6">
        <v>30.97</v>
      </c>
      <c r="D102" s="5" t="s">
        <v>31</v>
      </c>
      <c r="K102" s="3"/>
      <c r="L102" s="27"/>
    </row>
    <row r="103">
      <c r="A103" s="4">
        <v>46025.0</v>
      </c>
      <c r="B103" s="5" t="s">
        <v>611</v>
      </c>
      <c r="C103" s="6">
        <v>102.76</v>
      </c>
      <c r="D103" s="5" t="s">
        <v>550</v>
      </c>
      <c r="K103" s="3"/>
      <c r="L103" s="27"/>
    </row>
    <row r="104">
      <c r="A104" s="4">
        <v>46025.0</v>
      </c>
      <c r="B104" s="5" t="s">
        <v>612</v>
      </c>
      <c r="C104" s="6">
        <v>14.07</v>
      </c>
      <c r="D104" s="5" t="s">
        <v>550</v>
      </c>
      <c r="K104" s="3"/>
      <c r="L104" s="27"/>
    </row>
    <row r="105">
      <c r="A105" s="4">
        <v>46025.0</v>
      </c>
      <c r="B105" s="5" t="s">
        <v>613</v>
      </c>
      <c r="C105" s="6">
        <v>104.88</v>
      </c>
      <c r="D105" s="5" t="s">
        <v>550</v>
      </c>
      <c r="K105" s="3"/>
      <c r="L105" s="27"/>
    </row>
    <row r="106">
      <c r="A106" s="4">
        <v>46025.0</v>
      </c>
      <c r="B106" s="5" t="s">
        <v>609</v>
      </c>
      <c r="C106" s="6">
        <v>18.29</v>
      </c>
      <c r="D106" s="5" t="s">
        <v>550</v>
      </c>
      <c r="K106" s="3"/>
      <c r="L106" s="27"/>
    </row>
    <row r="107">
      <c r="A107" s="4">
        <v>46025.0</v>
      </c>
      <c r="B107" s="5" t="s">
        <v>614</v>
      </c>
      <c r="C107" s="6">
        <v>111.04</v>
      </c>
      <c r="D107" s="5" t="s">
        <v>550</v>
      </c>
      <c r="K107" s="3"/>
      <c r="L107" s="27"/>
    </row>
    <row r="108">
      <c r="A108" s="4">
        <v>46025.0</v>
      </c>
      <c r="B108" s="5" t="s">
        <v>615</v>
      </c>
      <c r="C108" s="6">
        <v>26.38</v>
      </c>
      <c r="D108" s="5" t="s">
        <v>550</v>
      </c>
      <c r="K108" s="3"/>
      <c r="L108" s="27"/>
    </row>
    <row r="109">
      <c r="A109" s="4">
        <v>46025.0</v>
      </c>
      <c r="B109" s="5" t="s">
        <v>608</v>
      </c>
      <c r="C109" s="6">
        <v>47.82</v>
      </c>
      <c r="D109" s="5" t="s">
        <v>550</v>
      </c>
      <c r="K109" s="3"/>
      <c r="L109" s="27"/>
    </row>
    <row r="110">
      <c r="A110" s="4">
        <v>46025.0</v>
      </c>
      <c r="B110" s="5" t="s">
        <v>592</v>
      </c>
      <c r="C110" s="6">
        <v>30.51</v>
      </c>
      <c r="D110" s="5" t="s">
        <v>550</v>
      </c>
      <c r="K110" s="3"/>
      <c r="L110" s="27"/>
    </row>
    <row r="111">
      <c r="A111" s="4">
        <v>46025.0</v>
      </c>
      <c r="B111" s="5" t="s">
        <v>507</v>
      </c>
      <c r="C111" s="6">
        <v>156.6</v>
      </c>
      <c r="D111" s="5" t="s">
        <v>616</v>
      </c>
      <c r="K111" s="3"/>
      <c r="L111" s="27"/>
    </row>
    <row r="112">
      <c r="A112" s="4">
        <v>46025.0</v>
      </c>
      <c r="B112" s="5" t="s">
        <v>617</v>
      </c>
      <c r="C112" s="6">
        <v>23.61</v>
      </c>
      <c r="D112" s="5" t="s">
        <v>550</v>
      </c>
      <c r="K112" s="3"/>
      <c r="L112" s="27"/>
    </row>
    <row r="113">
      <c r="A113" s="4">
        <v>46025.0</v>
      </c>
      <c r="B113" s="5" t="s">
        <v>609</v>
      </c>
      <c r="C113" s="6">
        <v>123.14</v>
      </c>
      <c r="D113" s="5" t="s">
        <v>550</v>
      </c>
      <c r="K113" s="3"/>
      <c r="L113" s="27"/>
    </row>
    <row r="114">
      <c r="A114" s="4">
        <v>46025.0</v>
      </c>
      <c r="B114" s="5" t="s">
        <v>618</v>
      </c>
      <c r="C114" s="6">
        <v>9.0</v>
      </c>
      <c r="D114" s="5" t="s">
        <v>31</v>
      </c>
      <c r="K114" s="3"/>
      <c r="L114" s="27"/>
    </row>
    <row r="115">
      <c r="A115" s="4">
        <v>46025.0</v>
      </c>
      <c r="B115" s="5" t="s">
        <v>216</v>
      </c>
      <c r="C115" s="6">
        <v>42.21</v>
      </c>
      <c r="D115" s="5" t="s">
        <v>132</v>
      </c>
      <c r="K115" s="3"/>
      <c r="L115" s="27"/>
    </row>
    <row r="116">
      <c r="A116" s="4">
        <v>46025.0</v>
      </c>
      <c r="B116" s="5" t="s">
        <v>619</v>
      </c>
      <c r="C116" s="6">
        <v>11.14</v>
      </c>
      <c r="D116" s="5" t="s">
        <v>550</v>
      </c>
      <c r="K116" s="3"/>
      <c r="L116" s="27"/>
    </row>
    <row r="117">
      <c r="A117" s="4">
        <v>46025.0</v>
      </c>
      <c r="B117" s="5" t="s">
        <v>620</v>
      </c>
      <c r="C117" s="6">
        <v>38.7</v>
      </c>
      <c r="D117" s="5" t="s">
        <v>550</v>
      </c>
      <c r="K117" s="3"/>
      <c r="L117" s="27"/>
    </row>
    <row r="118">
      <c r="A118" s="4">
        <v>46025.0</v>
      </c>
      <c r="B118" s="5" t="s">
        <v>621</v>
      </c>
      <c r="C118" s="6">
        <v>57.8</v>
      </c>
      <c r="D118" s="5" t="s">
        <v>67</v>
      </c>
      <c r="K118" s="3"/>
      <c r="L118" s="27"/>
    </row>
    <row r="119">
      <c r="A119" s="4">
        <v>46025.0</v>
      </c>
      <c r="B119" s="5" t="s">
        <v>622</v>
      </c>
      <c r="C119" s="6">
        <v>11.42</v>
      </c>
      <c r="D119" s="5" t="s">
        <v>550</v>
      </c>
      <c r="K119" s="3"/>
      <c r="L119" s="27"/>
    </row>
    <row r="120">
      <c r="A120" s="4">
        <v>46025.0</v>
      </c>
      <c r="B120" s="5" t="s">
        <v>623</v>
      </c>
      <c r="C120" s="6">
        <v>15.48</v>
      </c>
      <c r="D120" s="5" t="s">
        <v>550</v>
      </c>
      <c r="K120" s="3"/>
      <c r="L120" s="27"/>
    </row>
    <row r="121">
      <c r="A121" s="4">
        <v>46025.0</v>
      </c>
      <c r="B121" s="5" t="s">
        <v>609</v>
      </c>
      <c r="C121" s="6">
        <v>28.84</v>
      </c>
      <c r="D121" s="5" t="s">
        <v>550</v>
      </c>
      <c r="K121" s="3"/>
      <c r="L121" s="27"/>
    </row>
    <row r="122">
      <c r="A122" s="4">
        <v>46025.0</v>
      </c>
      <c r="B122" s="5" t="s">
        <v>609</v>
      </c>
      <c r="C122" s="6">
        <v>11.25</v>
      </c>
      <c r="D122" s="5" t="s">
        <v>550</v>
      </c>
      <c r="K122" s="3"/>
      <c r="L122" s="27"/>
    </row>
    <row r="123">
      <c r="A123" s="4">
        <v>46025.0</v>
      </c>
      <c r="B123" s="5" t="s">
        <v>624</v>
      </c>
      <c r="C123" s="6">
        <v>83.28</v>
      </c>
      <c r="D123" s="5" t="s">
        <v>550</v>
      </c>
      <c r="K123" s="3"/>
      <c r="L123" s="27"/>
    </row>
    <row r="124">
      <c r="A124" s="4">
        <v>46025.0</v>
      </c>
      <c r="B124" s="5" t="s">
        <v>608</v>
      </c>
      <c r="C124" s="6">
        <v>11.81</v>
      </c>
      <c r="D124" s="5" t="s">
        <v>550</v>
      </c>
      <c r="K124" s="3"/>
      <c r="L124" s="27"/>
    </row>
    <row r="125">
      <c r="A125" s="4">
        <v>46025.0</v>
      </c>
      <c r="B125" s="5" t="s">
        <v>625</v>
      </c>
      <c r="C125" s="6">
        <v>111.18</v>
      </c>
      <c r="D125" s="5" t="s">
        <v>550</v>
      </c>
      <c r="K125" s="3"/>
      <c r="L125" s="27"/>
    </row>
    <row r="126">
      <c r="A126" s="4">
        <v>46025.0</v>
      </c>
      <c r="B126" s="5" t="s">
        <v>626</v>
      </c>
      <c r="C126" s="6">
        <v>13.74</v>
      </c>
      <c r="D126" s="5" t="s">
        <v>550</v>
      </c>
      <c r="K126" s="3"/>
      <c r="L126" s="27"/>
    </row>
    <row r="127">
      <c r="A127" s="4">
        <v>46025.0</v>
      </c>
      <c r="B127" s="5" t="s">
        <v>627</v>
      </c>
      <c r="C127" s="6">
        <v>61.22</v>
      </c>
      <c r="D127" s="5" t="s">
        <v>550</v>
      </c>
      <c r="K127" s="3"/>
      <c r="L127" s="27"/>
    </row>
    <row r="128">
      <c r="A128" s="4">
        <v>46025.0</v>
      </c>
      <c r="B128" s="5" t="s">
        <v>608</v>
      </c>
      <c r="C128" s="6">
        <v>39.16</v>
      </c>
      <c r="D128" s="5" t="s">
        <v>550</v>
      </c>
      <c r="K128" s="3"/>
      <c r="L128" s="27"/>
    </row>
    <row r="129">
      <c r="A129" s="4">
        <v>46025.0</v>
      </c>
      <c r="B129" s="5" t="s">
        <v>388</v>
      </c>
      <c r="C129" s="6">
        <v>19.25</v>
      </c>
      <c r="D129" s="5" t="s">
        <v>550</v>
      </c>
      <c r="K129" s="3"/>
      <c r="L129" s="27"/>
    </row>
    <row r="130">
      <c r="A130" s="4">
        <v>46025.0</v>
      </c>
      <c r="B130" s="5" t="s">
        <v>628</v>
      </c>
      <c r="C130" s="6">
        <v>14.07</v>
      </c>
      <c r="D130" s="5" t="s">
        <v>550</v>
      </c>
      <c r="K130" s="3"/>
      <c r="L130" s="27"/>
    </row>
    <row r="131">
      <c r="A131" s="4">
        <v>46026.0</v>
      </c>
      <c r="B131" s="5" t="s">
        <v>629</v>
      </c>
      <c r="C131" s="6">
        <v>65.7</v>
      </c>
      <c r="D131" s="5" t="s">
        <v>13</v>
      </c>
      <c r="K131" s="3"/>
      <c r="L131" s="27"/>
    </row>
    <row r="132">
      <c r="A132" s="4">
        <v>46026.0</v>
      </c>
      <c r="B132" s="5" t="s">
        <v>630</v>
      </c>
      <c r="C132" s="6">
        <v>108.0</v>
      </c>
      <c r="D132" s="5" t="s">
        <v>183</v>
      </c>
      <c r="K132" s="3"/>
      <c r="L132" s="27"/>
    </row>
    <row r="133">
      <c r="A133" s="4">
        <v>46026.0</v>
      </c>
      <c r="B133" s="5" t="s">
        <v>144</v>
      </c>
      <c r="C133" s="6">
        <v>69.95</v>
      </c>
      <c r="D133" s="5" t="s">
        <v>49</v>
      </c>
      <c r="K133" s="3"/>
      <c r="L133" s="27"/>
    </row>
    <row r="134">
      <c r="A134" s="4">
        <v>46026.0</v>
      </c>
      <c r="B134" s="5" t="s">
        <v>631</v>
      </c>
      <c r="C134" s="6">
        <v>113.14</v>
      </c>
      <c r="D134" s="5" t="s">
        <v>13</v>
      </c>
      <c r="K134" s="3"/>
      <c r="L134" s="27"/>
    </row>
    <row r="135">
      <c r="A135" s="4">
        <v>46026.0</v>
      </c>
      <c r="B135" s="5" t="s">
        <v>632</v>
      </c>
      <c r="C135" s="6">
        <v>115.0</v>
      </c>
      <c r="D135" s="5" t="s">
        <v>245</v>
      </c>
      <c r="K135" s="3"/>
      <c r="L135" s="27"/>
    </row>
    <row r="136">
      <c r="A136" s="4">
        <v>46026.0</v>
      </c>
      <c r="B136" s="5" t="s">
        <v>527</v>
      </c>
      <c r="C136" s="6">
        <v>20.0</v>
      </c>
      <c r="D136" s="5" t="s">
        <v>13</v>
      </c>
      <c r="K136" s="3"/>
      <c r="L136" s="27"/>
    </row>
    <row r="137">
      <c r="A137" s="4">
        <v>46026.0</v>
      </c>
      <c r="B137" s="5" t="s">
        <v>388</v>
      </c>
      <c r="C137" s="6">
        <v>3.5</v>
      </c>
      <c r="D137" s="5" t="s">
        <v>31</v>
      </c>
      <c r="K137" s="3"/>
      <c r="L137" s="27"/>
    </row>
    <row r="138">
      <c r="A138" s="4">
        <v>46026.0</v>
      </c>
      <c r="B138" s="5" t="s">
        <v>633</v>
      </c>
      <c r="C138" s="6">
        <v>49.8</v>
      </c>
      <c r="D138" s="5" t="s">
        <v>149</v>
      </c>
      <c r="K138" s="3"/>
      <c r="L138" s="27"/>
    </row>
    <row r="139">
      <c r="A139" s="4">
        <v>46027.0</v>
      </c>
      <c r="B139" s="5" t="s">
        <v>634</v>
      </c>
      <c r="C139" s="6">
        <v>258.95</v>
      </c>
      <c r="D139" s="5" t="s">
        <v>16</v>
      </c>
      <c r="K139" s="3"/>
      <c r="L139" s="27"/>
    </row>
    <row r="140">
      <c r="A140" s="4">
        <v>46028.0</v>
      </c>
      <c r="B140" s="5" t="s">
        <v>493</v>
      </c>
      <c r="C140" s="6">
        <v>14.9</v>
      </c>
      <c r="D140" s="5" t="s">
        <v>67</v>
      </c>
      <c r="K140" s="3"/>
      <c r="L140" s="27"/>
    </row>
    <row r="141">
      <c r="A141" s="4">
        <v>46029.0</v>
      </c>
      <c r="B141" s="5" t="s">
        <v>635</v>
      </c>
      <c r="C141" s="6">
        <v>33.0</v>
      </c>
      <c r="D141" s="5" t="s">
        <v>149</v>
      </c>
      <c r="K141" s="3"/>
      <c r="L141" s="27"/>
    </row>
    <row r="142">
      <c r="A142" s="4">
        <v>46029.0</v>
      </c>
      <c r="B142" s="5" t="s">
        <v>636</v>
      </c>
      <c r="C142" s="6">
        <v>447.91</v>
      </c>
      <c r="D142" s="5" t="s">
        <v>13</v>
      </c>
      <c r="K142" s="3"/>
      <c r="L142" s="27"/>
    </row>
    <row r="143">
      <c r="A143" s="4">
        <v>46030.0</v>
      </c>
      <c r="B143" s="5" t="s">
        <v>637</v>
      </c>
      <c r="C143" s="6">
        <v>0.97</v>
      </c>
      <c r="D143" s="5" t="s">
        <v>616</v>
      </c>
      <c r="K143" s="3"/>
      <c r="L143" s="27"/>
    </row>
    <row r="144">
      <c r="A144" s="4">
        <v>46030.0</v>
      </c>
      <c r="B144" s="5" t="s">
        <v>638</v>
      </c>
      <c r="C144" s="6">
        <v>-0.97</v>
      </c>
      <c r="D144" s="5" t="s">
        <v>616</v>
      </c>
      <c r="K144" s="3"/>
      <c r="L144" s="27"/>
    </row>
    <row r="145">
      <c r="A145" s="4">
        <v>46030.0</v>
      </c>
      <c r="B145" s="5" t="s">
        <v>639</v>
      </c>
      <c r="C145" s="6">
        <v>27.88</v>
      </c>
      <c r="D145" s="5" t="s">
        <v>616</v>
      </c>
      <c r="K145" s="3"/>
      <c r="L145" s="27"/>
    </row>
    <row r="146">
      <c r="A146" s="4">
        <v>46030.0</v>
      </c>
      <c r="B146" s="5" t="s">
        <v>640</v>
      </c>
      <c r="C146" s="6">
        <v>28.47</v>
      </c>
      <c r="D146" s="5" t="s">
        <v>35</v>
      </c>
      <c r="K146" s="3"/>
      <c r="L146" s="27"/>
    </row>
    <row r="147">
      <c r="A147" s="4">
        <v>46031.0</v>
      </c>
      <c r="B147" s="5" t="s">
        <v>124</v>
      </c>
      <c r="C147" s="6">
        <v>25.0</v>
      </c>
      <c r="D147" s="5" t="s">
        <v>16</v>
      </c>
      <c r="K147" s="3"/>
      <c r="L147" s="27"/>
    </row>
    <row r="148">
      <c r="A148" s="4">
        <v>46032.0</v>
      </c>
      <c r="B148" s="5" t="s">
        <v>641</v>
      </c>
      <c r="C148" s="6">
        <v>125.0</v>
      </c>
      <c r="D148" s="5" t="s">
        <v>13</v>
      </c>
      <c r="K148" s="3"/>
      <c r="L148" s="27"/>
    </row>
    <row r="149">
      <c r="A149" s="4">
        <v>46032.0</v>
      </c>
      <c r="B149" s="5" t="s">
        <v>473</v>
      </c>
      <c r="C149" s="6">
        <v>47.19</v>
      </c>
      <c r="D149" s="5" t="s">
        <v>149</v>
      </c>
      <c r="K149" s="3"/>
      <c r="L149" s="27"/>
    </row>
    <row r="150">
      <c r="A150" s="4">
        <v>46032.0</v>
      </c>
      <c r="B150" s="5" t="s">
        <v>124</v>
      </c>
      <c r="C150" s="6">
        <v>25.0</v>
      </c>
      <c r="D150" s="5" t="s">
        <v>16</v>
      </c>
      <c r="K150" s="3"/>
      <c r="L150" s="27"/>
    </row>
    <row r="151">
      <c r="A151" s="4">
        <v>46032.0</v>
      </c>
      <c r="B151" s="5" t="s">
        <v>642</v>
      </c>
      <c r="C151" s="6">
        <v>7.0</v>
      </c>
      <c r="D151" s="5" t="s">
        <v>13</v>
      </c>
      <c r="K151" s="3"/>
      <c r="L151" s="27"/>
    </row>
    <row r="152">
      <c r="A152" s="4">
        <v>46032.0</v>
      </c>
      <c r="B152" s="5" t="s">
        <v>643</v>
      </c>
      <c r="C152" s="6">
        <v>56.5</v>
      </c>
      <c r="D152" s="5" t="s">
        <v>245</v>
      </c>
      <c r="K152" s="3"/>
      <c r="L152" s="27"/>
    </row>
    <row r="153">
      <c r="A153" s="4">
        <v>46033.0</v>
      </c>
      <c r="B153" s="5" t="s">
        <v>644</v>
      </c>
      <c r="C153" s="6">
        <v>89.9</v>
      </c>
      <c r="D153" s="5" t="s">
        <v>13</v>
      </c>
      <c r="K153" s="3"/>
      <c r="L153" s="27"/>
    </row>
    <row r="154">
      <c r="A154" s="4">
        <v>46033.0</v>
      </c>
      <c r="B154" s="5" t="s">
        <v>645</v>
      </c>
      <c r="C154" s="6">
        <v>25.0</v>
      </c>
      <c r="D154" s="5" t="s">
        <v>149</v>
      </c>
      <c r="K154" s="3"/>
      <c r="L154" s="27"/>
    </row>
    <row r="155">
      <c r="A155" s="4">
        <v>46033.0</v>
      </c>
      <c r="B155" s="5" t="s">
        <v>646</v>
      </c>
      <c r="C155" s="6">
        <v>38.0</v>
      </c>
      <c r="D155" s="5" t="s">
        <v>16</v>
      </c>
      <c r="K155" s="3"/>
      <c r="L155" s="27"/>
    </row>
    <row r="156">
      <c r="A156" s="4">
        <v>46033.0</v>
      </c>
      <c r="B156" s="5" t="s">
        <v>244</v>
      </c>
      <c r="C156" s="6">
        <v>108.0</v>
      </c>
      <c r="D156" s="5" t="s">
        <v>245</v>
      </c>
      <c r="K156" s="3"/>
      <c r="L156" s="27"/>
    </row>
    <row r="157">
      <c r="A157" s="4">
        <v>46033.0</v>
      </c>
      <c r="B157" s="5" t="s">
        <v>267</v>
      </c>
      <c r="C157" s="6">
        <v>215.0</v>
      </c>
      <c r="D157" s="5" t="s">
        <v>151</v>
      </c>
      <c r="K157" s="3"/>
      <c r="L157" s="27"/>
    </row>
    <row r="158">
      <c r="A158" s="4">
        <v>46033.0</v>
      </c>
      <c r="B158" s="5" t="s">
        <v>647</v>
      </c>
      <c r="C158" s="6">
        <v>28.0</v>
      </c>
      <c r="D158" s="5" t="s">
        <v>31</v>
      </c>
      <c r="K158" s="3"/>
      <c r="L158" s="27"/>
    </row>
    <row r="159">
      <c r="A159" s="4">
        <v>46034.0</v>
      </c>
      <c r="B159" s="5" t="s">
        <v>648</v>
      </c>
      <c r="C159" s="6">
        <v>13.08</v>
      </c>
      <c r="D159" s="5" t="s">
        <v>31</v>
      </c>
      <c r="K159" s="3"/>
      <c r="L159" s="27"/>
    </row>
    <row r="160">
      <c r="A160" s="4">
        <v>46034.0</v>
      </c>
      <c r="B160" s="5" t="s">
        <v>216</v>
      </c>
      <c r="C160" s="6">
        <v>13.99</v>
      </c>
      <c r="D160" s="5" t="s">
        <v>132</v>
      </c>
      <c r="K160" s="3"/>
      <c r="L160" s="27"/>
    </row>
    <row r="161">
      <c r="A161" s="4">
        <v>46034.0</v>
      </c>
      <c r="B161" s="5" t="s">
        <v>123</v>
      </c>
      <c r="C161" s="6">
        <v>9.99</v>
      </c>
      <c r="D161" s="5" t="s">
        <v>67</v>
      </c>
      <c r="K161" s="3"/>
      <c r="L161" s="27"/>
    </row>
    <row r="162">
      <c r="A162" s="4">
        <v>46034.0</v>
      </c>
      <c r="B162" s="5" t="s">
        <v>643</v>
      </c>
      <c r="C162" s="6">
        <v>37.0</v>
      </c>
      <c r="D162" s="5" t="s">
        <v>245</v>
      </c>
      <c r="K162" s="3"/>
      <c r="L162" s="27"/>
    </row>
    <row r="163">
      <c r="A163" s="4">
        <v>46034.0</v>
      </c>
      <c r="B163" s="5" t="s">
        <v>120</v>
      </c>
      <c r="C163" s="6">
        <v>45.0</v>
      </c>
      <c r="D163" s="5" t="s">
        <v>49</v>
      </c>
      <c r="K163" s="3"/>
      <c r="L163" s="27"/>
    </row>
    <row r="164">
      <c r="A164" s="4">
        <v>46035.0</v>
      </c>
      <c r="B164" s="5" t="s">
        <v>645</v>
      </c>
      <c r="C164" s="6">
        <v>25.0</v>
      </c>
      <c r="D164" s="5" t="s">
        <v>149</v>
      </c>
      <c r="K164" s="3"/>
      <c r="L164" s="27"/>
    </row>
    <row r="165">
      <c r="A165" s="4">
        <v>46036.0</v>
      </c>
      <c r="B165" s="5" t="s">
        <v>275</v>
      </c>
      <c r="C165" s="6">
        <v>63.12</v>
      </c>
      <c r="D165" s="5" t="s">
        <v>132</v>
      </c>
      <c r="K165" s="3"/>
      <c r="L165" s="27"/>
    </row>
    <row r="166">
      <c r="A166" s="4">
        <v>46036.0</v>
      </c>
      <c r="B166" s="5" t="s">
        <v>504</v>
      </c>
      <c r="C166" s="6">
        <v>65.64</v>
      </c>
      <c r="D166" s="5" t="s">
        <v>13</v>
      </c>
      <c r="K166" s="3"/>
      <c r="L166" s="27"/>
    </row>
    <row r="167">
      <c r="A167" s="4">
        <v>46038.0</v>
      </c>
      <c r="B167" s="5" t="s">
        <v>124</v>
      </c>
      <c r="C167" s="6">
        <v>30.0</v>
      </c>
      <c r="D167" s="5" t="s">
        <v>16</v>
      </c>
      <c r="K167" s="3"/>
      <c r="L167" s="27"/>
    </row>
    <row r="168">
      <c r="A168" s="4">
        <v>46038.0</v>
      </c>
      <c r="B168" s="5" t="s">
        <v>220</v>
      </c>
      <c r="C168" s="6">
        <v>65.9</v>
      </c>
      <c r="D168" s="5" t="s">
        <v>616</v>
      </c>
      <c r="K168" s="3"/>
      <c r="L168" s="27"/>
    </row>
    <row r="169">
      <c r="A169" s="4">
        <v>46039.0</v>
      </c>
      <c r="B169" s="5" t="s">
        <v>124</v>
      </c>
      <c r="C169" s="6">
        <v>30.0</v>
      </c>
      <c r="D169" s="5" t="s">
        <v>16</v>
      </c>
      <c r="K169" s="3"/>
      <c r="L169" s="27"/>
    </row>
    <row r="170">
      <c r="A170" s="4">
        <v>46040.0</v>
      </c>
      <c r="B170" s="5" t="s">
        <v>649</v>
      </c>
      <c r="C170" s="6">
        <v>38.96</v>
      </c>
      <c r="D170" s="5" t="s">
        <v>35</v>
      </c>
      <c r="K170" s="3"/>
      <c r="L170" s="27"/>
    </row>
    <row r="171">
      <c r="A171" s="4">
        <v>46040.0</v>
      </c>
      <c r="B171" s="5" t="s">
        <v>650</v>
      </c>
      <c r="C171" s="6">
        <v>34.98</v>
      </c>
      <c r="D171" s="5" t="s">
        <v>35</v>
      </c>
      <c r="K171" s="3"/>
      <c r="L171" s="27"/>
    </row>
    <row r="172">
      <c r="A172" s="4">
        <v>46040.0</v>
      </c>
      <c r="B172" s="5" t="s">
        <v>651</v>
      </c>
      <c r="C172" s="6">
        <v>49.19</v>
      </c>
      <c r="D172" s="5" t="s">
        <v>149</v>
      </c>
      <c r="K172" s="3"/>
      <c r="L172" s="27"/>
    </row>
    <row r="173">
      <c r="A173" s="4">
        <v>46040.0</v>
      </c>
      <c r="B173" s="5" t="s">
        <v>244</v>
      </c>
      <c r="C173" s="6">
        <v>61.0</v>
      </c>
      <c r="D173" s="5" t="s">
        <v>245</v>
      </c>
      <c r="K173" s="3"/>
      <c r="L173" s="27"/>
    </row>
    <row r="174">
      <c r="A174" s="4">
        <v>46041.0</v>
      </c>
      <c r="B174" s="5" t="s">
        <v>527</v>
      </c>
      <c r="C174" s="6">
        <v>31.0</v>
      </c>
      <c r="D174" s="5" t="s">
        <v>13</v>
      </c>
      <c r="K174" s="3"/>
      <c r="L174" s="27"/>
    </row>
    <row r="175">
      <c r="A175" s="4">
        <v>46042.0</v>
      </c>
      <c r="B175" s="5" t="s">
        <v>652</v>
      </c>
      <c r="C175" s="6">
        <v>34.0</v>
      </c>
      <c r="D175" s="5" t="s">
        <v>149</v>
      </c>
      <c r="K175" s="3"/>
      <c r="L175" s="27"/>
    </row>
    <row r="176">
      <c r="A176" s="4">
        <v>46042.0</v>
      </c>
      <c r="B176" s="5" t="s">
        <v>653</v>
      </c>
      <c r="C176" s="6">
        <v>22.77</v>
      </c>
      <c r="D176" s="5" t="s">
        <v>132</v>
      </c>
      <c r="K176" s="3"/>
      <c r="L176" s="27"/>
    </row>
    <row r="177">
      <c r="A177" s="4">
        <v>46042.0</v>
      </c>
      <c r="B177" s="5" t="s">
        <v>45</v>
      </c>
      <c r="C177" s="6">
        <v>19.19</v>
      </c>
      <c r="D177" s="5" t="s">
        <v>31</v>
      </c>
      <c r="K177" s="3"/>
      <c r="L177" s="27"/>
    </row>
    <row r="178">
      <c r="A178" s="4">
        <v>46042.0</v>
      </c>
      <c r="B178" s="5" t="s">
        <v>654</v>
      </c>
      <c r="C178" s="6">
        <v>150.0</v>
      </c>
      <c r="D178" s="5" t="s">
        <v>16</v>
      </c>
      <c r="K178" s="3"/>
      <c r="L178" s="27"/>
    </row>
    <row r="179">
      <c r="A179" s="4">
        <v>46042.0</v>
      </c>
      <c r="B179" s="5" t="s">
        <v>655</v>
      </c>
      <c r="C179" s="6">
        <v>70.0</v>
      </c>
      <c r="D179" s="5" t="s">
        <v>16</v>
      </c>
      <c r="K179" s="3"/>
      <c r="L179" s="27"/>
    </row>
    <row r="180">
      <c r="A180" s="4">
        <v>46043.0</v>
      </c>
      <c r="B180" s="5" t="s">
        <v>40</v>
      </c>
      <c r="C180" s="6">
        <v>34.99</v>
      </c>
      <c r="D180" s="5" t="s">
        <v>31</v>
      </c>
      <c r="K180" s="3"/>
      <c r="L180" s="27"/>
    </row>
    <row r="181">
      <c r="A181" s="4">
        <v>46043.0</v>
      </c>
      <c r="B181" s="5" t="s">
        <v>642</v>
      </c>
      <c r="C181" s="6">
        <v>17.0</v>
      </c>
      <c r="D181" s="5" t="s">
        <v>13</v>
      </c>
      <c r="K181" s="3"/>
      <c r="L181" s="27"/>
    </row>
    <row r="182">
      <c r="A182" s="4">
        <v>46043.0</v>
      </c>
      <c r="B182" s="5" t="s">
        <v>656</v>
      </c>
      <c r="C182" s="6">
        <v>24.0</v>
      </c>
      <c r="D182" s="5" t="s">
        <v>245</v>
      </c>
      <c r="K182" s="3"/>
      <c r="L182" s="27"/>
    </row>
    <row r="183">
      <c r="A183" s="4">
        <v>46044.0</v>
      </c>
      <c r="B183" s="5" t="s">
        <v>657</v>
      </c>
      <c r="C183" s="6">
        <v>28.35</v>
      </c>
      <c r="D183" s="5" t="s">
        <v>149</v>
      </c>
      <c r="K183" s="3"/>
      <c r="L183" s="27"/>
    </row>
    <row r="184">
      <c r="A184" s="4">
        <v>46045.0</v>
      </c>
      <c r="B184" s="5" t="s">
        <v>45</v>
      </c>
      <c r="C184" s="6">
        <v>38.11</v>
      </c>
      <c r="D184" s="5" t="s">
        <v>31</v>
      </c>
      <c r="K184" s="3"/>
      <c r="L184" s="27"/>
    </row>
    <row r="185">
      <c r="A185" s="4">
        <v>46045.0</v>
      </c>
      <c r="B185" s="5" t="s">
        <v>238</v>
      </c>
      <c r="C185" s="6">
        <v>27.0</v>
      </c>
      <c r="D185" s="5" t="s">
        <v>149</v>
      </c>
      <c r="K185" s="3"/>
      <c r="L185" s="27"/>
    </row>
    <row r="186">
      <c r="A186" s="4">
        <v>46045.0</v>
      </c>
      <c r="B186" s="5" t="s">
        <v>658</v>
      </c>
      <c r="C186" s="6">
        <v>57.22</v>
      </c>
      <c r="D186" s="5" t="s">
        <v>149</v>
      </c>
      <c r="K186" s="3"/>
      <c r="L186" s="27"/>
    </row>
    <row r="187">
      <c r="A187" s="4">
        <v>46045.0</v>
      </c>
      <c r="B187" s="5" t="s">
        <v>659</v>
      </c>
      <c r="C187" s="6">
        <v>67.13</v>
      </c>
      <c r="D187" s="5" t="s">
        <v>13</v>
      </c>
      <c r="K187" s="3"/>
      <c r="L187" s="27"/>
    </row>
    <row r="188">
      <c r="A188" s="4">
        <v>46045.0</v>
      </c>
      <c r="B188" s="5" t="s">
        <v>660</v>
      </c>
      <c r="C188" s="6">
        <v>100.0</v>
      </c>
      <c r="D188" s="5" t="s">
        <v>13</v>
      </c>
      <c r="K188" s="3"/>
      <c r="L188" s="27"/>
    </row>
    <row r="189">
      <c r="A189" s="4">
        <v>46048.0</v>
      </c>
      <c r="B189" s="5" t="s">
        <v>661</v>
      </c>
      <c r="C189" s="6">
        <v>91.5</v>
      </c>
      <c r="D189" s="5" t="s">
        <v>245</v>
      </c>
      <c r="K189" s="3"/>
      <c r="L189" s="27"/>
    </row>
    <row r="190">
      <c r="A190" s="4">
        <v>46048.0</v>
      </c>
      <c r="B190" s="5" t="s">
        <v>642</v>
      </c>
      <c r="C190" s="6">
        <v>9.5</v>
      </c>
      <c r="D190" s="5" t="s">
        <v>13</v>
      </c>
      <c r="K190" s="3"/>
      <c r="L190" s="27"/>
    </row>
    <row r="191">
      <c r="A191" s="4">
        <v>46048.0</v>
      </c>
      <c r="B191" s="5" t="s">
        <v>662</v>
      </c>
      <c r="C191" s="6">
        <v>76.35</v>
      </c>
      <c r="D191" s="5" t="s">
        <v>31</v>
      </c>
      <c r="K191" s="3"/>
      <c r="L191" s="27"/>
    </row>
    <row r="192">
      <c r="A192" s="4">
        <v>46048.0</v>
      </c>
      <c r="B192" s="5" t="s">
        <v>369</v>
      </c>
      <c r="C192" s="6">
        <v>38.22</v>
      </c>
      <c r="D192" s="5" t="s">
        <v>149</v>
      </c>
      <c r="K192" s="3"/>
      <c r="L192" s="27"/>
    </row>
    <row r="193">
      <c r="A193" s="4">
        <v>46047.0</v>
      </c>
      <c r="B193" s="5" t="s">
        <v>663</v>
      </c>
      <c r="C193" s="6">
        <v>54.0</v>
      </c>
      <c r="D193" s="5" t="s">
        <v>13</v>
      </c>
      <c r="K193" s="3"/>
      <c r="L193" s="27"/>
    </row>
    <row r="194">
      <c r="A194" s="4">
        <v>46047.0</v>
      </c>
      <c r="B194" s="5" t="s">
        <v>216</v>
      </c>
      <c r="C194" s="6">
        <v>14.57</v>
      </c>
      <c r="D194" s="5" t="s">
        <v>132</v>
      </c>
      <c r="K194" s="3"/>
      <c r="L194" s="27"/>
    </row>
    <row r="195">
      <c r="A195" s="4">
        <v>46047.0</v>
      </c>
      <c r="B195" s="5" t="s">
        <v>642</v>
      </c>
      <c r="C195" s="6">
        <v>12.5</v>
      </c>
      <c r="D195" s="5" t="s">
        <v>13</v>
      </c>
      <c r="K195" s="3"/>
      <c r="L195" s="27"/>
    </row>
    <row r="196">
      <c r="A196" s="4">
        <v>46047.0</v>
      </c>
      <c r="B196" s="5" t="s">
        <v>635</v>
      </c>
      <c r="C196" s="6">
        <v>26.0</v>
      </c>
      <c r="D196" s="5" t="s">
        <v>149</v>
      </c>
      <c r="K196" s="3"/>
      <c r="L196" s="27"/>
    </row>
    <row r="197">
      <c r="A197" s="4">
        <v>46047.0</v>
      </c>
      <c r="B197" s="5" t="s">
        <v>659</v>
      </c>
      <c r="C197" s="6">
        <v>85.68</v>
      </c>
      <c r="D197" s="5" t="s">
        <v>13</v>
      </c>
      <c r="K197" s="3"/>
      <c r="L197" s="27"/>
    </row>
    <row r="198">
      <c r="A198" s="4">
        <v>46047.0</v>
      </c>
      <c r="B198" s="5" t="s">
        <v>279</v>
      </c>
      <c r="C198" s="6">
        <v>40.57</v>
      </c>
      <c r="D198" s="5" t="s">
        <v>31</v>
      </c>
      <c r="K198" s="3"/>
      <c r="L198" s="27"/>
    </row>
    <row r="199">
      <c r="K199" s="3"/>
      <c r="L199" s="27"/>
    </row>
    <row r="200">
      <c r="K200" s="3"/>
      <c r="L200" s="27"/>
    </row>
    <row r="201">
      <c r="K201" s="3"/>
      <c r="L201" s="27"/>
    </row>
    <row r="202">
      <c r="K202" s="3"/>
      <c r="L202" s="27"/>
    </row>
    <row r="203">
      <c r="K203" s="3"/>
      <c r="L203" s="27"/>
    </row>
    <row r="204">
      <c r="K204" s="3"/>
      <c r="L204" s="27"/>
    </row>
    <row r="205">
      <c r="K205" s="3"/>
      <c r="L205" s="27"/>
    </row>
    <row r="206">
      <c r="K206" s="3"/>
      <c r="L206" s="27"/>
    </row>
    <row r="207">
      <c r="K207" s="3"/>
      <c r="L207" s="27"/>
    </row>
    <row r="208">
      <c r="K208" s="3"/>
      <c r="L208" s="27"/>
    </row>
    <row r="209">
      <c r="K209" s="3"/>
      <c r="L209" s="27"/>
    </row>
    <row r="210">
      <c r="K210" s="3"/>
      <c r="L210" s="27"/>
    </row>
    <row r="211">
      <c r="K211" s="3"/>
      <c r="L211" s="27"/>
    </row>
    <row r="212">
      <c r="K212" s="3"/>
      <c r="L212" s="27"/>
    </row>
    <row r="213">
      <c r="K213" s="3"/>
      <c r="L213" s="27"/>
    </row>
    <row r="214">
      <c r="K214" s="3"/>
      <c r="L214" s="27"/>
    </row>
    <row r="215"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A818" s="27"/>
      <c r="C818" s="22"/>
      <c r="K818" s="3"/>
      <c r="L818" s="27"/>
    </row>
    <row r="819">
      <c r="A819" s="27"/>
      <c r="C819" s="22"/>
      <c r="K819" s="3"/>
      <c r="L819" s="27"/>
    </row>
    <row r="820">
      <c r="A820" s="27"/>
      <c r="C820" s="22"/>
      <c r="K820" s="3"/>
      <c r="L820" s="27"/>
    </row>
    <row r="821">
      <c r="A821" s="27"/>
      <c r="C821" s="22"/>
      <c r="K821" s="3"/>
      <c r="L821" s="27"/>
    </row>
    <row r="822">
      <c r="A822" s="27"/>
      <c r="C822" s="22"/>
      <c r="K822" s="3"/>
      <c r="L822" s="27"/>
    </row>
    <row r="823">
      <c r="A823" s="27"/>
      <c r="C823" s="22"/>
      <c r="K823" s="3"/>
      <c r="L823" s="27"/>
    </row>
    <row r="824">
      <c r="A824" s="27"/>
      <c r="C824" s="22"/>
      <c r="K824" s="3"/>
      <c r="L824" s="27"/>
    </row>
    <row r="825">
      <c r="A825" s="27"/>
      <c r="C825" s="22"/>
      <c r="K825" s="3"/>
      <c r="L825" s="27"/>
    </row>
    <row r="826">
      <c r="A826" s="27"/>
      <c r="C826" s="22"/>
      <c r="K826" s="3"/>
      <c r="L826" s="27"/>
    </row>
    <row r="827">
      <c r="A827" s="27"/>
      <c r="C827" s="22"/>
      <c r="K827" s="3"/>
      <c r="L827" s="27"/>
    </row>
    <row r="828">
      <c r="A828" s="27"/>
      <c r="C828" s="22"/>
      <c r="K828" s="3"/>
      <c r="L828" s="27"/>
    </row>
    <row r="829">
      <c r="A829" s="27"/>
      <c r="C829" s="22"/>
      <c r="K829" s="3"/>
      <c r="L829" s="27"/>
    </row>
    <row r="830">
      <c r="A830" s="27"/>
      <c r="C830" s="22"/>
      <c r="K830" s="3"/>
      <c r="L830" s="27"/>
    </row>
    <row r="831">
      <c r="A831" s="27"/>
      <c r="C831" s="22"/>
      <c r="K831" s="3"/>
      <c r="L831" s="27"/>
    </row>
    <row r="832">
      <c r="A832" s="27"/>
      <c r="C832" s="22"/>
      <c r="K832" s="3"/>
      <c r="L832" s="27"/>
    </row>
    <row r="833">
      <c r="A833" s="27"/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K862" s="3"/>
      <c r="L862" s="27"/>
    </row>
    <row r="863">
      <c r="K863" s="3"/>
      <c r="L863" s="27"/>
    </row>
    <row r="864">
      <c r="K864" s="3"/>
      <c r="L864" s="27"/>
    </row>
    <row r="865">
      <c r="K865" s="3"/>
      <c r="L865" s="27"/>
    </row>
    <row r="866">
      <c r="K866" s="3"/>
      <c r="L866" s="27"/>
    </row>
    <row r="867">
      <c r="K867" s="3"/>
      <c r="L867" s="27"/>
    </row>
    <row r="868">
      <c r="K868" s="3"/>
      <c r="L868" s="27"/>
    </row>
    <row r="869">
      <c r="K869" s="3"/>
      <c r="L869" s="27"/>
    </row>
    <row r="870">
      <c r="K870" s="3"/>
      <c r="L870" s="27"/>
    </row>
    <row r="871">
      <c r="K871" s="3"/>
      <c r="L871" s="27"/>
    </row>
    <row r="872">
      <c r="K872" s="3"/>
      <c r="L872" s="27"/>
    </row>
    <row r="873">
      <c r="K873" s="3"/>
      <c r="L873" s="27"/>
    </row>
    <row r="874">
      <c r="K874" s="3"/>
      <c r="L874" s="27"/>
    </row>
    <row r="875">
      <c r="K875" s="3"/>
      <c r="L875" s="27"/>
    </row>
    <row r="876">
      <c r="K876" s="3"/>
      <c r="L876" s="27"/>
    </row>
    <row r="877">
      <c r="K877" s="3"/>
      <c r="L877" s="27"/>
    </row>
    <row r="878">
      <c r="K878" s="3"/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K882" s="3"/>
      <c r="L882" s="27"/>
    </row>
    <row r="883">
      <c r="K883" s="3"/>
      <c r="L883" s="27"/>
    </row>
    <row r="884">
      <c r="K884" s="3"/>
      <c r="L884" s="27"/>
    </row>
    <row r="885">
      <c r="K885" s="3"/>
      <c r="L885" s="27"/>
    </row>
    <row r="886">
      <c r="K886" s="3"/>
      <c r="L886" s="27"/>
    </row>
    <row r="887">
      <c r="K887" s="3"/>
      <c r="L887" s="27"/>
    </row>
    <row r="888">
      <c r="L888" s="27"/>
    </row>
    <row r="889">
      <c r="K889" s="3"/>
      <c r="L889" s="27"/>
    </row>
    <row r="890">
      <c r="K890" s="3"/>
      <c r="L890" s="27"/>
    </row>
    <row r="891">
      <c r="K891" s="3"/>
      <c r="L891" s="27"/>
    </row>
    <row r="892">
      <c r="L892" s="27"/>
    </row>
    <row r="893">
      <c r="L893" s="27"/>
    </row>
  </sheetData>
  <autoFilter ref="$A$1:$D$198"/>
  <mergeCells count="4">
    <mergeCell ref="J2:K2"/>
    <mergeCell ref="J10:K10"/>
    <mergeCell ref="J22:K22"/>
    <mergeCell ref="J30:K30"/>
  </mergeCells>
  <conditionalFormatting sqref="L1:L893">
    <cfRule type="containsText" dxfId="0" priority="1" operator="containsText" text="Pago">
      <formula>NOT(ISERROR(SEARCH(("Pago"),(L1))))</formula>
    </cfRule>
  </conditionalFormatting>
  <conditionalFormatting sqref="L1:L893">
    <cfRule type="containsText" dxfId="1" priority="2" operator="containsText" text="Pendente">
      <formula>NOT(ISERROR(SEARCH(("Pendente"),(L1))))</formula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6" max="6" width="75.38"/>
    <col customWidth="1" min="7" max="7" width="19.25"/>
    <col customWidth="1" min="8" max="8" width="48.88"/>
  </cols>
  <sheetData>
    <row r="1">
      <c r="A1" s="37"/>
      <c r="B1" s="37"/>
      <c r="C1" s="37"/>
      <c r="D1" s="37"/>
      <c r="E1" s="95"/>
      <c r="F1" s="37"/>
      <c r="G1" s="38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40" t="s">
        <v>540</v>
      </c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4"/>
      <c r="C3" s="45" t="s">
        <v>564</v>
      </c>
      <c r="D3" s="96">
        <v>479.3</v>
      </c>
      <c r="E3" s="97" t="s">
        <v>13</v>
      </c>
      <c r="F3" s="97" t="s">
        <v>664</v>
      </c>
      <c r="G3" s="97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4">
        <v>46029.0</v>
      </c>
      <c r="C4" s="45" t="s">
        <v>636</v>
      </c>
      <c r="D4" s="46">
        <v>447.91</v>
      </c>
      <c r="E4" s="97" t="s">
        <v>13</v>
      </c>
      <c r="F4" s="97" t="s">
        <v>665</v>
      </c>
      <c r="G4" s="97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4">
        <v>46018.0</v>
      </c>
      <c r="C5" s="45" t="s">
        <v>573</v>
      </c>
      <c r="D5" s="46">
        <v>264.9</v>
      </c>
      <c r="E5" s="97" t="s">
        <v>13</v>
      </c>
      <c r="F5" s="71" t="s">
        <v>541</v>
      </c>
      <c r="G5" s="9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4"/>
      <c r="C6" s="45" t="s">
        <v>567</v>
      </c>
      <c r="D6" s="96">
        <v>186.25</v>
      </c>
      <c r="E6" s="97" t="s">
        <v>13</v>
      </c>
      <c r="F6" s="98" t="s">
        <v>666</v>
      </c>
      <c r="G6" s="97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4"/>
      <c r="C7" s="45" t="s">
        <v>568</v>
      </c>
      <c r="D7" s="96">
        <f>121.2+32.95</f>
        <v>154.15</v>
      </c>
      <c r="E7" s="97" t="s">
        <v>13</v>
      </c>
      <c r="F7" s="97" t="s">
        <v>667</v>
      </c>
      <c r="G7" s="97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4">
        <v>46018.0</v>
      </c>
      <c r="C8" s="45" t="s">
        <v>578</v>
      </c>
      <c r="D8" s="46">
        <v>146.24</v>
      </c>
      <c r="E8" s="97" t="s">
        <v>13</v>
      </c>
      <c r="F8" s="71" t="s">
        <v>183</v>
      </c>
      <c r="G8" s="97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4">
        <v>46032.0</v>
      </c>
      <c r="C9" s="45" t="s">
        <v>641</v>
      </c>
      <c r="D9" s="46">
        <v>125.0</v>
      </c>
      <c r="E9" s="97" t="s">
        <v>13</v>
      </c>
      <c r="F9" s="97" t="s">
        <v>134</v>
      </c>
      <c r="G9" s="97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4">
        <v>46018.0</v>
      </c>
      <c r="C10" s="45" t="s">
        <v>563</v>
      </c>
      <c r="D10" s="46">
        <v>113.19</v>
      </c>
      <c r="E10" s="97" t="s">
        <v>13</v>
      </c>
      <c r="F10" s="71" t="s">
        <v>423</v>
      </c>
      <c r="G10" s="97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4">
        <v>46026.0</v>
      </c>
      <c r="C11" s="45" t="s">
        <v>631</v>
      </c>
      <c r="D11" s="46">
        <v>113.14</v>
      </c>
      <c r="E11" s="97" t="s">
        <v>13</v>
      </c>
      <c r="F11" s="97" t="s">
        <v>183</v>
      </c>
      <c r="G11" s="97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24">
        <v>46045.0</v>
      </c>
      <c r="C12" s="19" t="s">
        <v>660</v>
      </c>
      <c r="D12" s="20">
        <v>100.0</v>
      </c>
      <c r="E12" s="99" t="s">
        <v>13</v>
      </c>
      <c r="F12" s="97" t="s">
        <v>417</v>
      </c>
      <c r="G12" s="9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46033.0</v>
      </c>
      <c r="C13" s="5" t="s">
        <v>644</v>
      </c>
      <c r="D13" s="6">
        <v>89.9</v>
      </c>
      <c r="E13" s="97" t="s">
        <v>13</v>
      </c>
      <c r="F13" s="97" t="s">
        <v>668</v>
      </c>
      <c r="G13" s="97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24">
        <v>46047.0</v>
      </c>
      <c r="C14" s="19" t="s">
        <v>659</v>
      </c>
      <c r="D14" s="20">
        <v>85.68</v>
      </c>
      <c r="E14" s="99" t="s">
        <v>13</v>
      </c>
      <c r="F14" s="97" t="s">
        <v>31</v>
      </c>
      <c r="G14" s="97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24">
        <v>46045.0</v>
      </c>
      <c r="C15" s="19" t="s">
        <v>659</v>
      </c>
      <c r="D15" s="20">
        <v>67.13</v>
      </c>
      <c r="E15" s="99" t="s">
        <v>13</v>
      </c>
      <c r="F15" s="97" t="s">
        <v>31</v>
      </c>
      <c r="G15" s="97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4">
        <v>46026.0</v>
      </c>
      <c r="C16" s="45" t="s">
        <v>629</v>
      </c>
      <c r="D16" s="46">
        <v>65.7</v>
      </c>
      <c r="E16" s="97" t="s">
        <v>13</v>
      </c>
      <c r="F16" s="97" t="s">
        <v>31</v>
      </c>
      <c r="G16" s="9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24">
        <v>46036.0</v>
      </c>
      <c r="C17" s="19" t="s">
        <v>504</v>
      </c>
      <c r="D17" s="20">
        <v>65.64</v>
      </c>
      <c r="E17" s="99" t="s">
        <v>13</v>
      </c>
      <c r="F17" s="97" t="s">
        <v>669</v>
      </c>
      <c r="G17" s="9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24">
        <v>46047.0</v>
      </c>
      <c r="C18" s="19" t="s">
        <v>663</v>
      </c>
      <c r="D18" s="20">
        <v>54.0</v>
      </c>
      <c r="E18" s="99" t="s">
        <v>13</v>
      </c>
      <c r="F18" s="97" t="s">
        <v>670</v>
      </c>
      <c r="G18" s="97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24">
        <v>46048.0</v>
      </c>
      <c r="C19" s="19" t="s">
        <v>661</v>
      </c>
      <c r="D19" s="21">
        <v>45.75</v>
      </c>
      <c r="E19" s="99" t="s">
        <v>13</v>
      </c>
      <c r="F19" s="97" t="s">
        <v>671</v>
      </c>
      <c r="G19" s="97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4">
        <v>46018.0</v>
      </c>
      <c r="C20" s="45" t="s">
        <v>580</v>
      </c>
      <c r="D20" s="46">
        <v>32.39</v>
      </c>
      <c r="E20" s="97" t="s">
        <v>13</v>
      </c>
      <c r="F20" s="71" t="s">
        <v>425</v>
      </c>
      <c r="G20" s="97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24">
        <v>46041.0</v>
      </c>
      <c r="C21" s="19" t="s">
        <v>527</v>
      </c>
      <c r="D21" s="20">
        <v>31.0</v>
      </c>
      <c r="E21" s="99" t="s">
        <v>13</v>
      </c>
      <c r="F21" s="97" t="s">
        <v>672</v>
      </c>
      <c r="G21" s="97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4">
        <v>46026.0</v>
      </c>
      <c r="C22" s="45" t="s">
        <v>527</v>
      </c>
      <c r="D22" s="46">
        <v>20.0</v>
      </c>
      <c r="E22" s="97" t="s">
        <v>13</v>
      </c>
      <c r="F22" s="97" t="s">
        <v>673</v>
      </c>
      <c r="G22" s="97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24">
        <v>46043.0</v>
      </c>
      <c r="C23" s="19" t="s">
        <v>642</v>
      </c>
      <c r="D23" s="20">
        <v>17.0</v>
      </c>
      <c r="E23" s="99" t="s">
        <v>13</v>
      </c>
      <c r="F23" s="97" t="s">
        <v>674</v>
      </c>
      <c r="G23" s="97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24">
        <v>46047.0</v>
      </c>
      <c r="C24" s="19" t="s">
        <v>642</v>
      </c>
      <c r="D24" s="20">
        <v>12.5</v>
      </c>
      <c r="E24" s="99" t="s">
        <v>13</v>
      </c>
      <c r="F24" s="97" t="s">
        <v>675</v>
      </c>
      <c r="G24" s="97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24">
        <v>46048.0</v>
      </c>
      <c r="C25" s="19" t="s">
        <v>642</v>
      </c>
      <c r="D25" s="20">
        <v>9.5</v>
      </c>
      <c r="E25" s="99" t="s">
        <v>13</v>
      </c>
      <c r="F25" s="97" t="s">
        <v>675</v>
      </c>
      <c r="G25" s="97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4">
        <v>46032.0</v>
      </c>
      <c r="C26" s="45" t="s">
        <v>642</v>
      </c>
      <c r="D26" s="46">
        <v>7.0</v>
      </c>
      <c r="E26" s="97" t="s">
        <v>13</v>
      </c>
      <c r="F26" s="97" t="s">
        <v>676</v>
      </c>
      <c r="G26" s="97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4">
        <v>46018.0</v>
      </c>
      <c r="C27" s="45" t="s">
        <v>584</v>
      </c>
      <c r="D27" s="46">
        <v>6.9</v>
      </c>
      <c r="E27" s="97" t="s">
        <v>13</v>
      </c>
      <c r="F27" s="71" t="s">
        <v>183</v>
      </c>
      <c r="G27" s="97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F28" s="37"/>
      <c r="G28" s="38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8"/>
      <c r="C29" s="78" t="s">
        <v>6</v>
      </c>
      <c r="D29" s="79">
        <f>SUM(D2:D27)</f>
        <v>2740.17</v>
      </c>
      <c r="E29" s="100"/>
      <c r="F29" s="37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8"/>
      <c r="D30" s="38"/>
      <c r="E30" s="100"/>
      <c r="F30" s="37"/>
      <c r="G30" s="38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44">
        <v>45927.0</v>
      </c>
      <c r="C31" s="96" t="s">
        <v>583</v>
      </c>
      <c r="D31" s="96">
        <v>117.01</v>
      </c>
      <c r="E31" s="97" t="s">
        <v>320</v>
      </c>
      <c r="F31" s="37"/>
      <c r="G31" s="38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50" t="s">
        <v>6</v>
      </c>
      <c r="D32" s="51">
        <f>SUM(D31)</f>
        <v>117.01</v>
      </c>
      <c r="E32" s="95"/>
      <c r="F32" s="37"/>
      <c r="G32" s="38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95"/>
      <c r="F33" s="37"/>
      <c r="G33" s="38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82" t="s">
        <v>430</v>
      </c>
      <c r="D34" s="83">
        <f>D29+D32</f>
        <v>2857.18</v>
      </c>
      <c r="E34" s="95"/>
      <c r="F34" s="37"/>
      <c r="G34" s="38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E37" s="2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8"/>
      <c r="C44" s="38"/>
      <c r="D44" s="38"/>
      <c r="E44" s="100"/>
      <c r="F44" s="37"/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8"/>
      <c r="C45" s="38"/>
      <c r="D45" s="38"/>
      <c r="E45" s="100"/>
      <c r="F45" s="37"/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8"/>
      <c r="C46" s="38"/>
      <c r="D46" s="38"/>
      <c r="E46" s="100"/>
      <c r="F46" s="37"/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95"/>
      <c r="F47" s="37"/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95"/>
      <c r="F48" s="37"/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95"/>
      <c r="F49" s="37"/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95"/>
      <c r="F50" s="37"/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95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95"/>
      <c r="F52" s="37"/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95"/>
      <c r="F53" s="37"/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95"/>
      <c r="F54" s="37"/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95"/>
      <c r="F55" s="37"/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95"/>
      <c r="F56" s="37"/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95"/>
      <c r="F57" s="37"/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95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95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95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95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95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95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95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95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95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95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95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95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95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95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95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95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95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95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95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95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95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95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95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95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95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95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95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95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95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95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95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95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95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95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95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95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95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95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95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</sheetData>
  <autoFilter ref="$B$2:$G$27">
    <sortState ref="B2:G27">
      <sortCondition descending="1" ref="D2:D27"/>
      <sortCondition ref="E2:E27"/>
      <sortCondition ref="B2:B27"/>
      <sortCondition ref="F2:F27"/>
      <sortCondition ref="C2:C27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46049.0</v>
      </c>
      <c r="B2" s="5" t="s">
        <v>677</v>
      </c>
      <c r="C2" s="6">
        <v>432.82</v>
      </c>
      <c r="D2" s="5" t="s">
        <v>89</v>
      </c>
      <c r="F2" s="28" t="s">
        <v>145</v>
      </c>
      <c r="G2" s="29">
        <f>SUM(C:C)</f>
        <v>10239.99</v>
      </c>
      <c r="J2" s="60" t="s">
        <v>324</v>
      </c>
      <c r="L2" s="27"/>
    </row>
    <row r="3">
      <c r="A3" s="4">
        <v>46049.0</v>
      </c>
      <c r="B3" s="5" t="s">
        <v>678</v>
      </c>
      <c r="C3" s="6">
        <v>264.9</v>
      </c>
      <c r="D3" s="5" t="s">
        <v>13</v>
      </c>
      <c r="J3" s="5" t="s">
        <v>24</v>
      </c>
      <c r="K3" s="8">
        <v>13.03</v>
      </c>
      <c r="L3" s="27"/>
    </row>
    <row r="4">
      <c r="A4" s="4">
        <v>46049.0</v>
      </c>
      <c r="B4" s="5" t="s">
        <v>679</v>
      </c>
      <c r="C4" s="6">
        <v>243.67</v>
      </c>
      <c r="D4" s="5" t="s">
        <v>12</v>
      </c>
      <c r="J4" s="5" t="s">
        <v>28</v>
      </c>
      <c r="K4" s="8">
        <v>3400.0</v>
      </c>
      <c r="L4" s="27"/>
    </row>
    <row r="5">
      <c r="A5" s="4">
        <v>46049.0</v>
      </c>
      <c r="B5" s="5" t="s">
        <v>680</v>
      </c>
      <c r="C5" s="6">
        <v>222.08</v>
      </c>
      <c r="D5" s="5" t="s">
        <v>35</v>
      </c>
      <c r="J5" s="5" t="s">
        <v>7</v>
      </c>
      <c r="K5" s="8">
        <v>469.96</v>
      </c>
      <c r="L5" s="27"/>
    </row>
    <row r="6">
      <c r="A6" s="4">
        <v>46049.0</v>
      </c>
      <c r="B6" s="5" t="s">
        <v>681</v>
      </c>
      <c r="C6" s="6">
        <v>143.33</v>
      </c>
      <c r="D6" s="5" t="s">
        <v>16</v>
      </c>
      <c r="J6" s="5" t="s">
        <v>328</v>
      </c>
      <c r="K6" s="8"/>
      <c r="L6" s="27"/>
    </row>
    <row r="7">
      <c r="A7" s="4">
        <v>46049.0</v>
      </c>
      <c r="B7" s="5" t="s">
        <v>682</v>
      </c>
      <c r="C7" s="6">
        <v>142.49</v>
      </c>
      <c r="D7" s="5" t="s">
        <v>683</v>
      </c>
      <c r="J7" s="5" t="s">
        <v>330</v>
      </c>
      <c r="K7" s="8">
        <v>2750.0</v>
      </c>
      <c r="L7" s="27"/>
    </row>
    <row r="8">
      <c r="A8" s="4">
        <v>46049.0</v>
      </c>
      <c r="B8" s="5" t="s">
        <v>684</v>
      </c>
      <c r="C8" s="6">
        <v>123.14</v>
      </c>
      <c r="D8" s="5" t="s">
        <v>550</v>
      </c>
      <c r="J8" s="61" t="s">
        <v>179</v>
      </c>
      <c r="K8" s="62">
        <f>sum(K3:K7)</f>
        <v>6632.99</v>
      </c>
      <c r="L8" s="27"/>
    </row>
    <row r="9">
      <c r="A9" s="4">
        <v>46049.0</v>
      </c>
      <c r="B9" s="5" t="s">
        <v>686</v>
      </c>
      <c r="C9" s="6">
        <v>112.6</v>
      </c>
      <c r="D9" s="5" t="s">
        <v>550</v>
      </c>
      <c r="L9" s="27"/>
    </row>
    <row r="10">
      <c r="A10" s="4">
        <v>46049.0</v>
      </c>
      <c r="B10" s="5" t="s">
        <v>687</v>
      </c>
      <c r="C10" s="6">
        <v>111.18</v>
      </c>
      <c r="D10" s="5" t="s">
        <v>550</v>
      </c>
      <c r="J10" s="63" t="s">
        <v>334</v>
      </c>
      <c r="L10" s="27"/>
    </row>
    <row r="11">
      <c r="A11" s="4">
        <v>46049.0</v>
      </c>
      <c r="B11" s="5" t="s">
        <v>688</v>
      </c>
      <c r="C11" s="6">
        <v>111.04</v>
      </c>
      <c r="D11" s="5" t="s">
        <v>550</v>
      </c>
      <c r="J11" s="5" t="s">
        <v>6</v>
      </c>
      <c r="K11" s="8">
        <f>G2</f>
        <v>10239.99</v>
      </c>
      <c r="L11" s="27"/>
    </row>
    <row r="12">
      <c r="A12" s="4">
        <v>46049.0</v>
      </c>
      <c r="B12" s="5" t="s">
        <v>689</v>
      </c>
      <c r="C12" s="6">
        <v>108.0</v>
      </c>
      <c r="D12" s="5" t="s">
        <v>183</v>
      </c>
      <c r="J12" s="5" t="s">
        <v>13</v>
      </c>
      <c r="K12" s="8">
        <f>SUMIF(D:D, "Pedro", C:C)</f>
        <v>1880.41</v>
      </c>
      <c r="L12" s="27"/>
    </row>
    <row r="13">
      <c r="A13" s="4">
        <v>46049.0</v>
      </c>
      <c r="B13" s="5" t="s">
        <v>690</v>
      </c>
      <c r="C13" s="6">
        <v>104.88</v>
      </c>
      <c r="D13" s="5" t="s">
        <v>550</v>
      </c>
      <c r="J13" s="5" t="s">
        <v>564</v>
      </c>
      <c r="K13" s="8">
        <v>479.3</v>
      </c>
      <c r="L13" s="27"/>
    </row>
    <row r="14">
      <c r="A14" s="4">
        <v>46049.0</v>
      </c>
      <c r="B14" s="5" t="s">
        <v>691</v>
      </c>
      <c r="C14" s="6">
        <v>102.76</v>
      </c>
      <c r="D14" s="5" t="s">
        <v>550</v>
      </c>
      <c r="J14" s="5" t="s">
        <v>692</v>
      </c>
      <c r="K14" s="8">
        <f>21.97+37.5</f>
        <v>59.47</v>
      </c>
      <c r="L14" s="27"/>
    </row>
    <row r="15">
      <c r="A15" s="4">
        <v>46049.0</v>
      </c>
      <c r="B15" s="5" t="s">
        <v>693</v>
      </c>
      <c r="C15" s="6">
        <v>96.63</v>
      </c>
      <c r="D15" s="5" t="s">
        <v>16</v>
      </c>
      <c r="J15" s="5" t="s">
        <v>695</v>
      </c>
      <c r="K15" s="8">
        <f>44.87+30</f>
        <v>74.87</v>
      </c>
      <c r="L15" s="27"/>
    </row>
    <row r="16">
      <c r="A16" s="4">
        <v>46049.0</v>
      </c>
      <c r="B16" s="5" t="s">
        <v>696</v>
      </c>
      <c r="C16" s="6">
        <v>83.28</v>
      </c>
      <c r="D16" s="5" t="s">
        <v>550</v>
      </c>
      <c r="J16" s="5" t="s">
        <v>89</v>
      </c>
      <c r="K16" s="8">
        <f>SUMIF(D:D, "Mãe", C:C)</f>
        <v>432.82</v>
      </c>
      <c r="L16" s="27"/>
    </row>
    <row r="17">
      <c r="A17" s="4">
        <v>46049.0</v>
      </c>
      <c r="B17" s="5" t="s">
        <v>698</v>
      </c>
      <c r="C17" s="6">
        <v>76.33</v>
      </c>
      <c r="D17" s="5" t="s">
        <v>49</v>
      </c>
      <c r="J17" s="5" t="s">
        <v>699</v>
      </c>
      <c r="K17" s="8">
        <f>37.5+37.5</f>
        <v>75</v>
      </c>
      <c r="L17" s="27"/>
    </row>
    <row r="18">
      <c r="A18" s="4">
        <v>46049.0</v>
      </c>
      <c r="B18" s="5" t="s">
        <v>354</v>
      </c>
      <c r="C18" s="6">
        <v>69.95</v>
      </c>
      <c r="D18" s="5" t="s">
        <v>35</v>
      </c>
      <c r="J18" s="5" t="s">
        <v>338</v>
      </c>
      <c r="K18" s="8">
        <f>sum(K12:K17)</f>
        <v>3001.87</v>
      </c>
      <c r="L18" s="27"/>
    </row>
    <row r="19">
      <c r="A19" s="4">
        <v>46049.0</v>
      </c>
      <c r="B19" s="5" t="s">
        <v>701</v>
      </c>
      <c r="C19" s="6">
        <v>61.22</v>
      </c>
      <c r="D19" s="5" t="s">
        <v>550</v>
      </c>
      <c r="J19" s="64" t="s">
        <v>19</v>
      </c>
      <c r="K19" s="65">
        <f>K11-K18</f>
        <v>7238.12</v>
      </c>
      <c r="L19" s="27"/>
    </row>
    <row r="20">
      <c r="A20" s="4">
        <v>46049.0</v>
      </c>
      <c r="B20" s="5" t="s">
        <v>702</v>
      </c>
      <c r="C20" s="6">
        <v>47.82</v>
      </c>
      <c r="D20" s="5" t="s">
        <v>550</v>
      </c>
      <c r="L20" s="27"/>
    </row>
    <row r="21">
      <c r="A21" s="4">
        <v>46049.0</v>
      </c>
      <c r="B21" s="5" t="s">
        <v>219</v>
      </c>
      <c r="C21" s="6">
        <v>40.9</v>
      </c>
      <c r="D21" s="5" t="s">
        <v>67</v>
      </c>
      <c r="J21" s="66" t="s">
        <v>340</v>
      </c>
      <c r="K21" s="67"/>
      <c r="L21" s="27"/>
    </row>
    <row r="22">
      <c r="A22" s="4">
        <v>46049.0</v>
      </c>
      <c r="B22" s="5" t="s">
        <v>702</v>
      </c>
      <c r="C22" s="6">
        <v>39.16</v>
      </c>
      <c r="D22" s="5" t="s">
        <v>550</v>
      </c>
      <c r="J22" s="8" t="s">
        <v>6</v>
      </c>
      <c r="K22" s="8">
        <v>337.96</v>
      </c>
      <c r="L22" s="27"/>
    </row>
    <row r="23">
      <c r="A23" s="4">
        <v>46049.0</v>
      </c>
      <c r="B23" s="5" t="s">
        <v>703</v>
      </c>
      <c r="C23" s="6">
        <v>38.7</v>
      </c>
      <c r="D23" s="5" t="s">
        <v>550</v>
      </c>
      <c r="J23" s="8" t="s">
        <v>705</v>
      </c>
      <c r="K23" s="8">
        <v>117.01</v>
      </c>
      <c r="L23" s="27"/>
    </row>
    <row r="24">
      <c r="A24" s="4">
        <v>46049.0</v>
      </c>
      <c r="B24" s="5" t="s">
        <v>706</v>
      </c>
      <c r="C24" s="6">
        <v>34.02</v>
      </c>
      <c r="D24" s="5" t="s">
        <v>550</v>
      </c>
      <c r="J24" s="5" t="s">
        <v>338</v>
      </c>
      <c r="K24" s="8">
        <f>sum(K23)</f>
        <v>117.01</v>
      </c>
      <c r="L24" s="27"/>
    </row>
    <row r="25">
      <c r="A25" s="4">
        <v>46049.0</v>
      </c>
      <c r="B25" s="5" t="s">
        <v>702</v>
      </c>
      <c r="C25" s="6">
        <v>33.31</v>
      </c>
      <c r="D25" s="5" t="s">
        <v>550</v>
      </c>
      <c r="J25" s="64" t="s">
        <v>353</v>
      </c>
      <c r="K25" s="65">
        <f>K22-K24</f>
        <v>220.95</v>
      </c>
      <c r="L25" s="27"/>
    </row>
    <row r="26">
      <c r="A26" s="4">
        <v>46049.0</v>
      </c>
      <c r="B26" s="5" t="s">
        <v>708</v>
      </c>
      <c r="C26" s="6">
        <v>32.39</v>
      </c>
      <c r="D26" s="5" t="s">
        <v>13</v>
      </c>
      <c r="L26" s="27"/>
    </row>
    <row r="27">
      <c r="A27" s="4">
        <v>46049.0</v>
      </c>
      <c r="B27" s="5" t="s">
        <v>710</v>
      </c>
      <c r="C27" s="6">
        <v>32.39</v>
      </c>
      <c r="D27" s="5" t="s">
        <v>49</v>
      </c>
      <c r="J27" s="68" t="s">
        <v>356</v>
      </c>
      <c r="K27" s="65">
        <f>K25+K19</f>
        <v>7459.07</v>
      </c>
      <c r="L27" s="27"/>
    </row>
    <row r="28">
      <c r="A28" s="4">
        <v>46049.0</v>
      </c>
      <c r="B28" s="5" t="s">
        <v>712</v>
      </c>
      <c r="C28" s="6">
        <v>30.6</v>
      </c>
      <c r="D28" s="5" t="s">
        <v>13</v>
      </c>
      <c r="L28" s="27"/>
    </row>
    <row r="29">
      <c r="A29" s="4">
        <v>46049.0</v>
      </c>
      <c r="B29" s="5" t="s">
        <v>684</v>
      </c>
      <c r="C29" s="6">
        <v>28.84</v>
      </c>
      <c r="D29" s="5" t="s">
        <v>550</v>
      </c>
      <c r="J29" s="69" t="s">
        <v>359</v>
      </c>
      <c r="K29" s="67"/>
      <c r="L29" s="70" t="s">
        <v>360</v>
      </c>
    </row>
    <row r="30">
      <c r="A30" s="4">
        <v>46049.0</v>
      </c>
      <c r="B30" s="5" t="s">
        <v>684</v>
      </c>
      <c r="C30" s="6">
        <v>26.56</v>
      </c>
      <c r="D30" s="5" t="s">
        <v>550</v>
      </c>
      <c r="J30" s="5" t="s">
        <v>361</v>
      </c>
      <c r="K30" s="8">
        <v>85.0</v>
      </c>
      <c r="L30" s="71" t="s">
        <v>362</v>
      </c>
    </row>
    <row r="31">
      <c r="A31" s="4">
        <v>46049.0</v>
      </c>
      <c r="B31" s="5" t="s">
        <v>716</v>
      </c>
      <c r="C31" s="6">
        <v>26.38</v>
      </c>
      <c r="D31" s="5" t="s">
        <v>550</v>
      </c>
      <c r="J31" s="5" t="s">
        <v>363</v>
      </c>
      <c r="K31" s="8">
        <v>119.77</v>
      </c>
      <c r="L31" s="71" t="s">
        <v>362</v>
      </c>
    </row>
    <row r="32">
      <c r="A32" s="4">
        <v>46049.0</v>
      </c>
      <c r="B32" s="5" t="s">
        <v>718</v>
      </c>
      <c r="C32" s="6">
        <v>23.61</v>
      </c>
      <c r="D32" s="5" t="s">
        <v>550</v>
      </c>
      <c r="J32" s="5" t="s">
        <v>367</v>
      </c>
      <c r="K32" s="8">
        <v>74.9</v>
      </c>
      <c r="L32" s="71" t="s">
        <v>362</v>
      </c>
    </row>
    <row r="33">
      <c r="A33" s="4">
        <v>46049.0</v>
      </c>
      <c r="B33" s="5" t="s">
        <v>684</v>
      </c>
      <c r="C33" s="6">
        <v>18.29</v>
      </c>
      <c r="D33" s="5" t="s">
        <v>550</v>
      </c>
      <c r="J33" s="5" t="s">
        <v>368</v>
      </c>
      <c r="K33" s="8">
        <v>124.0</v>
      </c>
      <c r="L33" s="71" t="s">
        <v>362</v>
      </c>
    </row>
    <row r="34">
      <c r="A34" s="4">
        <v>46049.0</v>
      </c>
      <c r="B34" s="5" t="s">
        <v>721</v>
      </c>
      <c r="C34" s="6">
        <v>16.88</v>
      </c>
      <c r="D34" s="5" t="s">
        <v>550</v>
      </c>
      <c r="J34" s="5" t="s">
        <v>370</v>
      </c>
      <c r="K34" s="8">
        <v>60.0</v>
      </c>
      <c r="L34" s="71" t="s">
        <v>362</v>
      </c>
    </row>
    <row r="35">
      <c r="A35" s="4">
        <v>46049.0</v>
      </c>
      <c r="B35" s="5" t="s">
        <v>45</v>
      </c>
      <c r="C35" s="6">
        <v>16.59</v>
      </c>
      <c r="D35" s="5" t="s">
        <v>31</v>
      </c>
      <c r="J35" s="5" t="s">
        <v>365</v>
      </c>
      <c r="K35" s="8">
        <v>49.99</v>
      </c>
      <c r="L35" s="71" t="s">
        <v>362</v>
      </c>
    </row>
    <row r="36">
      <c r="A36" s="4">
        <v>46049.0</v>
      </c>
      <c r="B36" s="5" t="s">
        <v>724</v>
      </c>
      <c r="C36" s="6">
        <v>15.83</v>
      </c>
      <c r="D36" s="5" t="s">
        <v>550</v>
      </c>
      <c r="J36" s="72" t="s">
        <v>6</v>
      </c>
      <c r="K36" s="73">
        <f>SUMIF(L2:L90,"pendente",K2:K92)</f>
        <v>0</v>
      </c>
    </row>
    <row r="37">
      <c r="A37" s="4">
        <v>46049.0</v>
      </c>
      <c r="B37" s="5" t="s">
        <v>725</v>
      </c>
      <c r="C37" s="6">
        <v>15.48</v>
      </c>
      <c r="D37" s="5" t="s">
        <v>550</v>
      </c>
      <c r="L37" s="27"/>
    </row>
    <row r="38">
      <c r="A38" s="4">
        <v>46049.0</v>
      </c>
      <c r="B38" s="5" t="s">
        <v>726</v>
      </c>
      <c r="C38" s="6">
        <v>14.07</v>
      </c>
      <c r="D38" s="5" t="s">
        <v>550</v>
      </c>
      <c r="J38" s="30" t="s">
        <v>371</v>
      </c>
      <c r="K38" s="74">
        <f>K27+K36</f>
        <v>7459.07</v>
      </c>
      <c r="L38" s="27"/>
    </row>
    <row r="39">
      <c r="A39" s="4">
        <v>46049.0</v>
      </c>
      <c r="B39" s="5" t="s">
        <v>727</v>
      </c>
      <c r="C39" s="6">
        <v>14.07</v>
      </c>
      <c r="D39" s="5" t="s">
        <v>550</v>
      </c>
      <c r="J39" s="30" t="s">
        <v>373</v>
      </c>
      <c r="K39" s="75">
        <f>K8</f>
        <v>6632.99</v>
      </c>
      <c r="L39" s="27"/>
    </row>
    <row r="40">
      <c r="A40" s="4">
        <v>46049.0</v>
      </c>
      <c r="B40" s="5" t="s">
        <v>702</v>
      </c>
      <c r="C40" s="6">
        <v>11.81</v>
      </c>
      <c r="D40" s="5" t="s">
        <v>550</v>
      </c>
      <c r="J40" s="30" t="s">
        <v>47</v>
      </c>
      <c r="K40" s="76">
        <f>K39-K38</f>
        <v>-826.08</v>
      </c>
      <c r="L40" s="27"/>
    </row>
    <row r="41">
      <c r="A41" s="4">
        <v>46049.0</v>
      </c>
      <c r="B41" s="5" t="s">
        <v>728</v>
      </c>
      <c r="C41" s="6">
        <v>11.42</v>
      </c>
      <c r="D41" s="5" t="s">
        <v>550</v>
      </c>
    </row>
    <row r="42">
      <c r="A42" s="4">
        <v>46049.0</v>
      </c>
      <c r="B42" s="5" t="s">
        <v>684</v>
      </c>
      <c r="C42" s="6">
        <v>11.25</v>
      </c>
      <c r="D42" s="5" t="s">
        <v>550</v>
      </c>
    </row>
    <row r="43">
      <c r="A43" s="4">
        <v>46049.0</v>
      </c>
      <c r="B43" s="5" t="s">
        <v>729</v>
      </c>
      <c r="C43" s="6">
        <v>11.14</v>
      </c>
      <c r="D43" s="5" t="s">
        <v>550</v>
      </c>
    </row>
    <row r="44">
      <c r="A44" s="4">
        <v>46049.0</v>
      </c>
      <c r="B44" s="5" t="s">
        <v>730</v>
      </c>
      <c r="C44" s="6">
        <v>6.9</v>
      </c>
      <c r="D44" s="5" t="s">
        <v>13</v>
      </c>
      <c r="L44" s="27"/>
    </row>
    <row r="45">
      <c r="A45" s="4">
        <v>46050.0</v>
      </c>
      <c r="B45" s="5" t="s">
        <v>629</v>
      </c>
      <c r="C45" s="6">
        <v>237.79</v>
      </c>
      <c r="D45" s="5" t="s">
        <v>13</v>
      </c>
      <c r="L45" s="27"/>
    </row>
    <row r="46">
      <c r="A46" s="4">
        <v>46050.0</v>
      </c>
      <c r="B46" s="5" t="s">
        <v>731</v>
      </c>
      <c r="C46" s="6">
        <v>93.51</v>
      </c>
      <c r="D46" s="5" t="s">
        <v>245</v>
      </c>
      <c r="L46" s="27"/>
    </row>
    <row r="47">
      <c r="A47" s="4">
        <v>46050.0</v>
      </c>
      <c r="B47" s="5" t="s">
        <v>732</v>
      </c>
      <c r="C47" s="6">
        <v>40.9</v>
      </c>
      <c r="D47" s="5" t="s">
        <v>149</v>
      </c>
      <c r="L47" s="27"/>
    </row>
    <row r="48">
      <c r="A48" s="4">
        <v>46050.0</v>
      </c>
      <c r="B48" s="5" t="s">
        <v>499</v>
      </c>
      <c r="C48" s="6">
        <v>19.8</v>
      </c>
      <c r="D48" s="5" t="s">
        <v>31</v>
      </c>
      <c r="L48" s="27"/>
    </row>
    <row r="49">
      <c r="A49" s="4">
        <v>46050.0</v>
      </c>
      <c r="B49" s="5" t="s">
        <v>733</v>
      </c>
      <c r="C49" s="6">
        <v>10.0</v>
      </c>
      <c r="D49" s="5" t="s">
        <v>149</v>
      </c>
      <c r="L49" s="27"/>
    </row>
    <row r="50">
      <c r="A50" s="4">
        <v>46051.0</v>
      </c>
      <c r="B50" s="5" t="s">
        <v>634</v>
      </c>
      <c r="C50" s="6">
        <v>274.48</v>
      </c>
      <c r="D50" s="5" t="s">
        <v>16</v>
      </c>
      <c r="L50" s="27"/>
    </row>
    <row r="51">
      <c r="A51" s="4">
        <v>46051.0</v>
      </c>
      <c r="B51" s="5" t="s">
        <v>734</v>
      </c>
      <c r="C51" s="6">
        <v>150.0</v>
      </c>
      <c r="D51" s="5" t="s">
        <v>616</v>
      </c>
      <c r="L51" s="27"/>
    </row>
    <row r="52">
      <c r="A52" s="4">
        <v>46051.0</v>
      </c>
      <c r="B52" s="5" t="s">
        <v>735</v>
      </c>
      <c r="C52" s="6">
        <v>13.9</v>
      </c>
      <c r="D52" s="5" t="s">
        <v>736</v>
      </c>
      <c r="L52" s="27"/>
    </row>
    <row r="53">
      <c r="A53" s="4">
        <v>46051.0</v>
      </c>
      <c r="B53" s="5" t="s">
        <v>737</v>
      </c>
      <c r="C53" s="6">
        <v>12.49</v>
      </c>
      <c r="D53" s="5" t="s">
        <v>31</v>
      </c>
      <c r="L53" s="27"/>
    </row>
    <row r="54">
      <c r="A54" s="4">
        <v>46051.0</v>
      </c>
      <c r="B54" s="5" t="s">
        <v>77</v>
      </c>
      <c r="C54" s="6">
        <v>9.0</v>
      </c>
      <c r="D54" s="5" t="s">
        <v>67</v>
      </c>
      <c r="L54" s="27"/>
    </row>
    <row r="55">
      <c r="A55" s="4">
        <v>46051.0</v>
      </c>
      <c r="B55" s="5" t="s">
        <v>738</v>
      </c>
      <c r="C55" s="6">
        <v>6.95</v>
      </c>
      <c r="D55" s="5" t="s">
        <v>736</v>
      </c>
      <c r="L55" s="27"/>
    </row>
    <row r="56">
      <c r="A56" s="4">
        <v>46051.0</v>
      </c>
      <c r="B56" s="5" t="s">
        <v>739</v>
      </c>
      <c r="C56" s="6">
        <v>4.0</v>
      </c>
      <c r="D56" s="5" t="s">
        <v>736</v>
      </c>
      <c r="K56" s="3"/>
      <c r="L56" s="27"/>
    </row>
    <row r="57">
      <c r="A57" s="4">
        <v>46052.0</v>
      </c>
      <c r="B57" s="5" t="s">
        <v>120</v>
      </c>
      <c r="C57" s="6">
        <v>75.0</v>
      </c>
      <c r="D57" s="5" t="s">
        <v>49</v>
      </c>
      <c r="K57" s="3"/>
      <c r="L57" s="27"/>
    </row>
    <row r="58">
      <c r="A58" s="4">
        <v>46052.0</v>
      </c>
      <c r="B58" s="5" t="s">
        <v>244</v>
      </c>
      <c r="C58" s="6">
        <v>45.0</v>
      </c>
      <c r="D58" s="5" t="s">
        <v>245</v>
      </c>
      <c r="K58" s="3"/>
      <c r="L58" s="27"/>
    </row>
    <row r="59">
      <c r="A59" s="4">
        <v>46052.0</v>
      </c>
      <c r="B59" s="5" t="s">
        <v>740</v>
      </c>
      <c r="C59" s="6">
        <v>45.0</v>
      </c>
      <c r="D59" s="5" t="s">
        <v>13</v>
      </c>
      <c r="K59" s="3"/>
      <c r="L59" s="27"/>
    </row>
    <row r="60">
      <c r="A60" s="4">
        <v>46052.0</v>
      </c>
      <c r="B60" s="5" t="s">
        <v>741</v>
      </c>
      <c r="C60" s="6">
        <v>40.0</v>
      </c>
      <c r="D60" s="5" t="s">
        <v>16</v>
      </c>
      <c r="K60" s="3"/>
      <c r="L60" s="27"/>
    </row>
    <row r="61">
      <c r="A61" s="4">
        <v>46052.0</v>
      </c>
      <c r="B61" s="5" t="s">
        <v>289</v>
      </c>
      <c r="C61" s="6">
        <v>33.0</v>
      </c>
      <c r="D61" s="5" t="s">
        <v>149</v>
      </c>
      <c r="K61" s="3"/>
      <c r="L61" s="27"/>
    </row>
    <row r="62">
      <c r="A62" s="4">
        <v>46052.0</v>
      </c>
      <c r="B62" s="5" t="s">
        <v>742</v>
      </c>
      <c r="C62" s="6">
        <v>23.5</v>
      </c>
      <c r="D62" s="5" t="s">
        <v>149</v>
      </c>
      <c r="K62" s="3"/>
      <c r="L62" s="27"/>
    </row>
    <row r="63">
      <c r="A63" s="4">
        <v>46052.0</v>
      </c>
      <c r="B63" s="5" t="s">
        <v>743</v>
      </c>
      <c r="C63" s="6">
        <v>11.99</v>
      </c>
      <c r="D63" s="5" t="s">
        <v>35</v>
      </c>
      <c r="K63" s="3"/>
      <c r="L63" s="27"/>
    </row>
    <row r="64">
      <c r="A64" s="4">
        <v>46052.0</v>
      </c>
      <c r="B64" s="5" t="s">
        <v>532</v>
      </c>
      <c r="C64" s="6">
        <v>3.2</v>
      </c>
      <c r="D64" s="5" t="s">
        <v>744</v>
      </c>
      <c r="K64" s="3"/>
      <c r="L64" s="27"/>
    </row>
    <row r="65">
      <c r="A65" s="4">
        <v>46052.0</v>
      </c>
      <c r="B65" s="5" t="s">
        <v>532</v>
      </c>
      <c r="C65" s="6">
        <v>3.2</v>
      </c>
      <c r="D65" s="5" t="s">
        <v>744</v>
      </c>
      <c r="K65" s="3"/>
      <c r="L65" s="27"/>
    </row>
    <row r="66">
      <c r="A66" s="4">
        <v>46052.0</v>
      </c>
      <c r="B66" s="5" t="s">
        <v>745</v>
      </c>
      <c r="C66" s="6">
        <v>2.0</v>
      </c>
      <c r="D66" s="5" t="s">
        <v>736</v>
      </c>
      <c r="K66" s="3"/>
      <c r="L66" s="27"/>
    </row>
    <row r="67">
      <c r="A67" s="4">
        <v>46053.0</v>
      </c>
      <c r="B67" s="5" t="s">
        <v>746</v>
      </c>
      <c r="C67" s="6">
        <v>83.0</v>
      </c>
      <c r="D67" s="5" t="s">
        <v>13</v>
      </c>
      <c r="K67" s="3"/>
      <c r="L67" s="27"/>
    </row>
    <row r="68">
      <c r="A68" s="4">
        <v>46055.0</v>
      </c>
      <c r="B68" s="5" t="s">
        <v>747</v>
      </c>
      <c r="C68" s="6">
        <v>44.81</v>
      </c>
      <c r="D68" s="5" t="s">
        <v>13</v>
      </c>
      <c r="K68" s="3"/>
      <c r="L68" s="27"/>
    </row>
    <row r="69">
      <c r="A69" s="4">
        <v>46054.0</v>
      </c>
      <c r="B69" s="5" t="s">
        <v>244</v>
      </c>
      <c r="C69" s="6">
        <v>70.9</v>
      </c>
      <c r="D69" s="5" t="s">
        <v>245</v>
      </c>
      <c r="K69" s="3"/>
      <c r="L69" s="27"/>
    </row>
    <row r="70">
      <c r="A70" s="4">
        <v>46054.0</v>
      </c>
      <c r="B70" s="5" t="s">
        <v>502</v>
      </c>
      <c r="C70" s="6">
        <v>11.98</v>
      </c>
      <c r="D70" s="5" t="s">
        <v>748</v>
      </c>
      <c r="K70" s="3"/>
      <c r="L70" s="27"/>
    </row>
    <row r="71">
      <c r="A71" s="4">
        <v>46055.0</v>
      </c>
      <c r="B71" s="5" t="s">
        <v>99</v>
      </c>
      <c r="C71" s="6">
        <v>53.9</v>
      </c>
      <c r="D71" s="5" t="s">
        <v>67</v>
      </c>
      <c r="K71" s="3"/>
      <c r="L71" s="27"/>
    </row>
    <row r="72">
      <c r="A72" s="4">
        <v>46055.0</v>
      </c>
      <c r="B72" s="5" t="s">
        <v>663</v>
      </c>
      <c r="C72" s="6">
        <v>12.0</v>
      </c>
      <c r="D72" s="5" t="s">
        <v>13</v>
      </c>
      <c r="K72" s="3"/>
      <c r="L72" s="27"/>
    </row>
    <row r="73">
      <c r="A73" s="4">
        <v>46055.0</v>
      </c>
      <c r="B73" s="5" t="s">
        <v>117</v>
      </c>
      <c r="C73" s="6">
        <v>25.17</v>
      </c>
      <c r="D73" s="5" t="s">
        <v>149</v>
      </c>
      <c r="K73" s="3"/>
      <c r="L73" s="27"/>
    </row>
    <row r="74">
      <c r="A74" s="4">
        <v>46056.0</v>
      </c>
      <c r="B74" s="5" t="s">
        <v>712</v>
      </c>
      <c r="C74" s="6">
        <v>34.42</v>
      </c>
      <c r="D74" s="5" t="s">
        <v>13</v>
      </c>
      <c r="K74" s="3"/>
      <c r="L74" s="27"/>
    </row>
    <row r="75">
      <c r="A75" s="4">
        <v>46056.0</v>
      </c>
      <c r="B75" s="86" t="s">
        <v>490</v>
      </c>
      <c r="C75" s="6">
        <v>57.8</v>
      </c>
      <c r="D75" s="5" t="s">
        <v>67</v>
      </c>
      <c r="K75" s="3"/>
      <c r="L75" s="27"/>
    </row>
    <row r="76">
      <c r="A76" s="4">
        <v>46057.0</v>
      </c>
      <c r="B76" s="5" t="s">
        <v>749</v>
      </c>
      <c r="C76" s="6">
        <v>227.62</v>
      </c>
      <c r="D76" s="5" t="s">
        <v>13</v>
      </c>
      <c r="K76" s="3"/>
      <c r="L76" s="27"/>
    </row>
    <row r="77">
      <c r="A77" s="4">
        <v>46056.0</v>
      </c>
      <c r="B77" s="5" t="s">
        <v>244</v>
      </c>
      <c r="C77" s="6">
        <v>26.0</v>
      </c>
      <c r="D77" s="5" t="s">
        <v>245</v>
      </c>
      <c r="K77" s="3"/>
      <c r="L77" s="27"/>
    </row>
    <row r="78">
      <c r="A78" s="4">
        <v>46056.0</v>
      </c>
      <c r="B78" s="5" t="s">
        <v>239</v>
      </c>
      <c r="C78" s="6">
        <v>11.49</v>
      </c>
      <c r="D78" s="5" t="s">
        <v>31</v>
      </c>
      <c r="K78" s="3"/>
      <c r="L78" s="27"/>
    </row>
    <row r="79">
      <c r="A79" s="4">
        <v>46057.0</v>
      </c>
      <c r="B79" s="5" t="s">
        <v>750</v>
      </c>
      <c r="C79" s="6">
        <v>76.9</v>
      </c>
      <c r="D79" s="5" t="s">
        <v>13</v>
      </c>
      <c r="K79" s="3"/>
      <c r="L79" s="27"/>
    </row>
    <row r="80">
      <c r="A80" s="4">
        <v>46057.0</v>
      </c>
      <c r="B80" s="5" t="s">
        <v>751</v>
      </c>
      <c r="C80" s="6">
        <v>150.82</v>
      </c>
      <c r="D80" s="5" t="s">
        <v>104</v>
      </c>
      <c r="K80" s="3"/>
      <c r="L80" s="27"/>
    </row>
    <row r="81">
      <c r="A81" s="4">
        <v>46058.0</v>
      </c>
      <c r="B81" s="5" t="s">
        <v>752</v>
      </c>
      <c r="C81" s="6">
        <v>140.0</v>
      </c>
      <c r="D81" s="5" t="s">
        <v>13</v>
      </c>
      <c r="K81" s="3"/>
      <c r="L81" s="27"/>
    </row>
    <row r="82">
      <c r="A82" s="4">
        <v>46057.0</v>
      </c>
      <c r="B82" s="5" t="s">
        <v>753</v>
      </c>
      <c r="C82" s="6">
        <v>49.0</v>
      </c>
      <c r="D82" s="5" t="s">
        <v>12</v>
      </c>
      <c r="K82" s="3"/>
      <c r="L82" s="27"/>
    </row>
    <row r="83">
      <c r="A83" s="4">
        <v>46057.0</v>
      </c>
      <c r="B83" s="5" t="s">
        <v>279</v>
      </c>
      <c r="C83" s="6">
        <v>27.23</v>
      </c>
      <c r="D83" s="5" t="s">
        <v>31</v>
      </c>
      <c r="K83" s="3"/>
      <c r="L83" s="27"/>
    </row>
    <row r="84">
      <c r="A84" s="4">
        <v>46058.0</v>
      </c>
      <c r="B84" s="5" t="s">
        <v>754</v>
      </c>
      <c r="C84" s="6">
        <v>249.31</v>
      </c>
      <c r="D84" s="5" t="s">
        <v>16</v>
      </c>
      <c r="K84" s="3"/>
      <c r="L84" s="27"/>
    </row>
    <row r="85">
      <c r="A85" s="4">
        <v>46058.0</v>
      </c>
      <c r="B85" s="5" t="s">
        <v>712</v>
      </c>
      <c r="C85" s="6">
        <v>59.93</v>
      </c>
      <c r="D85" s="5" t="s">
        <v>13</v>
      </c>
      <c r="K85" s="3"/>
      <c r="L85" s="27"/>
    </row>
    <row r="86">
      <c r="A86" s="4">
        <v>46058.0</v>
      </c>
      <c r="B86" s="5" t="s">
        <v>755</v>
      </c>
      <c r="C86" s="6">
        <v>99.98</v>
      </c>
      <c r="D86" s="5" t="s">
        <v>183</v>
      </c>
      <c r="K86" s="3"/>
      <c r="L86" s="27"/>
    </row>
    <row r="87">
      <c r="A87" s="4">
        <v>46060.0</v>
      </c>
      <c r="B87" s="5" t="s">
        <v>756</v>
      </c>
      <c r="C87" s="6">
        <v>79.9</v>
      </c>
      <c r="D87" s="5" t="s">
        <v>13</v>
      </c>
      <c r="K87" s="3"/>
      <c r="L87" s="27"/>
    </row>
    <row r="88">
      <c r="A88" s="4">
        <v>46058.0</v>
      </c>
      <c r="B88" s="5" t="s">
        <v>757</v>
      </c>
      <c r="C88" s="6">
        <v>12.0</v>
      </c>
      <c r="D88" s="5" t="s">
        <v>245</v>
      </c>
      <c r="K88" s="3"/>
      <c r="L88" s="27"/>
    </row>
    <row r="89">
      <c r="A89" s="4">
        <v>46059.0</v>
      </c>
      <c r="B89" s="5" t="s">
        <v>124</v>
      </c>
      <c r="C89" s="6">
        <v>30.0</v>
      </c>
      <c r="D89" s="5" t="s">
        <v>16</v>
      </c>
      <c r="K89" s="3"/>
      <c r="L89" s="27"/>
    </row>
    <row r="90">
      <c r="A90" s="4">
        <v>46059.0</v>
      </c>
      <c r="B90" s="5" t="s">
        <v>758</v>
      </c>
      <c r="C90" s="6">
        <v>20.0</v>
      </c>
      <c r="D90" s="5" t="s">
        <v>35</v>
      </c>
      <c r="K90" s="3"/>
      <c r="L90" s="27"/>
    </row>
    <row r="91">
      <c r="A91" s="4">
        <v>46059.0</v>
      </c>
      <c r="B91" s="5" t="s">
        <v>493</v>
      </c>
      <c r="C91" s="6">
        <v>14.9</v>
      </c>
      <c r="D91" s="5" t="s">
        <v>67</v>
      </c>
      <c r="K91" s="3"/>
      <c r="L91" s="27"/>
    </row>
    <row r="92">
      <c r="A92" s="4">
        <v>46061.0</v>
      </c>
      <c r="B92" s="5" t="s">
        <v>759</v>
      </c>
      <c r="C92" s="6">
        <v>37.99</v>
      </c>
      <c r="D92" s="5" t="s">
        <v>13</v>
      </c>
      <c r="K92" s="3"/>
      <c r="L92" s="27"/>
    </row>
    <row r="93">
      <c r="A93" s="4">
        <v>46060.0</v>
      </c>
      <c r="B93" s="5" t="s">
        <v>760</v>
      </c>
      <c r="C93" s="6">
        <v>75.0</v>
      </c>
      <c r="D93" s="5" t="s">
        <v>16</v>
      </c>
      <c r="K93" s="3"/>
      <c r="L93" s="27"/>
    </row>
    <row r="94">
      <c r="A94" s="4">
        <v>46060.0</v>
      </c>
      <c r="B94" s="5" t="s">
        <v>732</v>
      </c>
      <c r="C94" s="6">
        <v>42.63</v>
      </c>
      <c r="D94" s="5" t="s">
        <v>149</v>
      </c>
      <c r="K94" s="3"/>
      <c r="L94" s="27"/>
    </row>
    <row r="95">
      <c r="A95" s="4">
        <v>46060.0</v>
      </c>
      <c r="B95" s="5" t="s">
        <v>532</v>
      </c>
      <c r="C95" s="6">
        <v>19.0</v>
      </c>
      <c r="D95" s="5" t="s">
        <v>16</v>
      </c>
      <c r="K95" s="3"/>
      <c r="L95" s="27"/>
    </row>
    <row r="96">
      <c r="A96" s="4">
        <v>46061.0</v>
      </c>
      <c r="B96" s="5" t="s">
        <v>759</v>
      </c>
      <c r="C96" s="6">
        <v>20.96</v>
      </c>
      <c r="D96" s="5" t="s">
        <v>13</v>
      </c>
      <c r="K96" s="3"/>
      <c r="L96" s="27"/>
    </row>
    <row r="97">
      <c r="A97" s="4">
        <v>46061.0</v>
      </c>
      <c r="B97" s="5" t="s">
        <v>761</v>
      </c>
      <c r="C97" s="6">
        <v>22.0</v>
      </c>
      <c r="D97" s="5" t="s">
        <v>149</v>
      </c>
      <c r="K97" s="3"/>
      <c r="L97" s="27"/>
    </row>
    <row r="98">
      <c r="A98" s="4">
        <v>46062.0</v>
      </c>
      <c r="B98" s="5" t="s">
        <v>762</v>
      </c>
      <c r="C98" s="6">
        <v>30.31</v>
      </c>
      <c r="D98" s="5" t="s">
        <v>13</v>
      </c>
      <c r="K98" s="3"/>
      <c r="L98" s="27"/>
    </row>
    <row r="99">
      <c r="A99" s="4">
        <v>46061.0</v>
      </c>
      <c r="B99" s="5" t="s">
        <v>216</v>
      </c>
      <c r="C99" s="6">
        <v>15.58</v>
      </c>
      <c r="D99" s="5" t="s">
        <v>132</v>
      </c>
      <c r="K99" s="3"/>
      <c r="L99" s="27"/>
    </row>
    <row r="100">
      <c r="A100" s="4">
        <v>46062.0</v>
      </c>
      <c r="B100" s="5" t="s">
        <v>763</v>
      </c>
      <c r="C100" s="6">
        <v>35.89</v>
      </c>
      <c r="D100" s="5" t="s">
        <v>149</v>
      </c>
      <c r="K100" s="3"/>
      <c r="L100" s="27"/>
    </row>
    <row r="101">
      <c r="A101" s="4">
        <v>46062.0</v>
      </c>
      <c r="B101" s="5" t="s">
        <v>764</v>
      </c>
      <c r="C101" s="6">
        <v>32.3</v>
      </c>
      <c r="D101" s="5" t="s">
        <v>149</v>
      </c>
      <c r="K101" s="3"/>
      <c r="L101" s="27"/>
    </row>
    <row r="102">
      <c r="A102" s="4">
        <v>46063.0</v>
      </c>
      <c r="B102" s="5" t="s">
        <v>523</v>
      </c>
      <c r="C102" s="6">
        <v>185.0</v>
      </c>
      <c r="D102" s="5" t="s">
        <v>13</v>
      </c>
      <c r="K102" s="3"/>
      <c r="L102" s="27"/>
    </row>
    <row r="103">
      <c r="A103" s="4">
        <v>46062.0</v>
      </c>
      <c r="B103" s="5" t="s">
        <v>244</v>
      </c>
      <c r="C103" s="6">
        <v>12.5</v>
      </c>
      <c r="D103" s="5" t="s">
        <v>245</v>
      </c>
      <c r="K103" s="3"/>
      <c r="L103" s="27"/>
    </row>
    <row r="104">
      <c r="A104" s="4">
        <v>46062.0</v>
      </c>
      <c r="B104" s="5" t="s">
        <v>289</v>
      </c>
      <c r="C104" s="6">
        <v>9.13</v>
      </c>
      <c r="D104" s="5" t="s">
        <v>149</v>
      </c>
      <c r="K104" s="3"/>
      <c r="L104" s="27"/>
    </row>
    <row r="105">
      <c r="A105" s="4">
        <v>46063.0</v>
      </c>
      <c r="B105" s="5" t="s">
        <v>765</v>
      </c>
      <c r="C105" s="6">
        <v>247.5</v>
      </c>
      <c r="D105" s="5" t="s">
        <v>16</v>
      </c>
      <c r="K105" s="3"/>
      <c r="L105" s="27"/>
    </row>
    <row r="106">
      <c r="A106" s="4">
        <v>46064.0</v>
      </c>
      <c r="B106" s="5" t="s">
        <v>644</v>
      </c>
      <c r="C106" s="6">
        <v>99.99</v>
      </c>
      <c r="D106" s="5" t="s">
        <v>13</v>
      </c>
      <c r="K106" s="3"/>
      <c r="L106" s="27"/>
    </row>
    <row r="107">
      <c r="A107" s="4">
        <v>46063.0</v>
      </c>
      <c r="B107" s="5" t="s">
        <v>244</v>
      </c>
      <c r="C107" s="6">
        <v>44.0</v>
      </c>
      <c r="D107" s="5" t="s">
        <v>245</v>
      </c>
      <c r="K107" s="3"/>
      <c r="L107" s="27"/>
    </row>
    <row r="108">
      <c r="A108" s="4">
        <v>46063.0</v>
      </c>
      <c r="B108" s="5" t="s">
        <v>388</v>
      </c>
      <c r="C108" s="6">
        <v>21.08</v>
      </c>
      <c r="D108" s="5" t="s">
        <v>31</v>
      </c>
      <c r="K108" s="3"/>
      <c r="L108" s="27"/>
    </row>
    <row r="109">
      <c r="A109" s="4">
        <v>46063.0</v>
      </c>
      <c r="B109" s="5" t="s">
        <v>502</v>
      </c>
      <c r="C109" s="6">
        <v>10.97</v>
      </c>
      <c r="D109" s="5" t="s">
        <v>748</v>
      </c>
      <c r="K109" s="3"/>
      <c r="L109" s="27"/>
    </row>
    <row r="110">
      <c r="A110" s="4">
        <v>46065.0</v>
      </c>
      <c r="B110" s="5" t="s">
        <v>766</v>
      </c>
      <c r="C110" s="6">
        <v>95.0</v>
      </c>
      <c r="D110" s="5" t="s">
        <v>13</v>
      </c>
      <c r="K110" s="3"/>
      <c r="L110" s="27"/>
    </row>
    <row r="111">
      <c r="A111" s="4">
        <v>46065.0</v>
      </c>
      <c r="B111" s="5" t="s">
        <v>216</v>
      </c>
      <c r="C111" s="6">
        <v>99.99</v>
      </c>
      <c r="D111" s="5" t="s">
        <v>132</v>
      </c>
      <c r="K111" s="3"/>
      <c r="L111" s="27"/>
    </row>
    <row r="112">
      <c r="A112" s="4">
        <v>46068.0</v>
      </c>
      <c r="B112" s="5" t="s">
        <v>767</v>
      </c>
      <c r="C112" s="6">
        <v>35.0</v>
      </c>
      <c r="D112" s="5" t="s">
        <v>13</v>
      </c>
      <c r="K112" s="3"/>
      <c r="L112" s="27"/>
    </row>
    <row r="113">
      <c r="A113" s="4">
        <v>46065.0</v>
      </c>
      <c r="B113" s="5" t="s">
        <v>768</v>
      </c>
      <c r="C113" s="6">
        <v>79.99</v>
      </c>
      <c r="D113" s="5" t="s">
        <v>132</v>
      </c>
      <c r="K113" s="3"/>
      <c r="L113" s="27"/>
    </row>
    <row r="114">
      <c r="A114" s="4">
        <v>46065.0</v>
      </c>
      <c r="B114" s="5" t="s">
        <v>279</v>
      </c>
      <c r="C114" s="6">
        <v>33.99</v>
      </c>
      <c r="D114" s="5" t="s">
        <v>31</v>
      </c>
      <c r="K114" s="3"/>
      <c r="L114" s="27"/>
    </row>
    <row r="115">
      <c r="A115" s="4">
        <v>46065.0</v>
      </c>
      <c r="B115" s="5" t="s">
        <v>40</v>
      </c>
      <c r="C115" s="6">
        <v>19.99</v>
      </c>
      <c r="D115" s="5" t="s">
        <v>31</v>
      </c>
      <c r="K115" s="3"/>
      <c r="L115" s="27"/>
    </row>
    <row r="116">
      <c r="A116" s="4">
        <v>46065.0</v>
      </c>
      <c r="B116" s="5" t="s">
        <v>123</v>
      </c>
      <c r="C116" s="6">
        <v>9.99</v>
      </c>
      <c r="D116" s="5" t="s">
        <v>67</v>
      </c>
      <c r="K116" s="3"/>
      <c r="L116" s="27"/>
    </row>
    <row r="117">
      <c r="A117" s="4">
        <v>46066.0</v>
      </c>
      <c r="B117" s="5" t="s">
        <v>769</v>
      </c>
      <c r="C117" s="6">
        <v>65.0</v>
      </c>
      <c r="D117" s="5" t="s">
        <v>770</v>
      </c>
      <c r="K117" s="3"/>
      <c r="L117" s="27"/>
    </row>
    <row r="118">
      <c r="A118" s="4">
        <v>46066.0</v>
      </c>
      <c r="B118" s="5" t="s">
        <v>124</v>
      </c>
      <c r="C118" s="6">
        <v>30.0</v>
      </c>
      <c r="D118" s="5" t="s">
        <v>16</v>
      </c>
      <c r="K118" s="3"/>
      <c r="L118" s="27"/>
    </row>
    <row r="119">
      <c r="A119" s="4">
        <v>46067.0</v>
      </c>
      <c r="B119" s="5" t="s">
        <v>244</v>
      </c>
      <c r="C119" s="6">
        <v>154.0</v>
      </c>
      <c r="D119" s="5" t="s">
        <v>771</v>
      </c>
      <c r="K119" s="3"/>
      <c r="L119" s="27"/>
    </row>
    <row r="120">
      <c r="A120" s="4">
        <v>46067.0</v>
      </c>
      <c r="B120" s="5" t="s">
        <v>124</v>
      </c>
      <c r="C120" s="6">
        <v>30.0</v>
      </c>
      <c r="D120" s="5" t="s">
        <v>16</v>
      </c>
      <c r="K120" s="3"/>
      <c r="L120" s="27"/>
    </row>
    <row r="121">
      <c r="A121" s="4">
        <v>46067.0</v>
      </c>
      <c r="B121" s="5" t="s">
        <v>532</v>
      </c>
      <c r="C121" s="6">
        <v>3.2</v>
      </c>
      <c r="D121" s="5" t="s">
        <v>16</v>
      </c>
      <c r="K121" s="3"/>
      <c r="L121" s="27"/>
    </row>
    <row r="122">
      <c r="A122" s="4">
        <v>46068.0</v>
      </c>
      <c r="B122" s="5" t="s">
        <v>772</v>
      </c>
      <c r="C122" s="6">
        <v>163.71</v>
      </c>
      <c r="D122" s="5" t="s">
        <v>770</v>
      </c>
      <c r="G122" s="7">
        <f>65.9/3</f>
        <v>21.96666667</v>
      </c>
      <c r="K122" s="3"/>
      <c r="L122" s="27"/>
    </row>
    <row r="123">
      <c r="A123" s="4">
        <v>46068.0</v>
      </c>
      <c r="B123" s="5" t="s">
        <v>773</v>
      </c>
      <c r="C123" s="6">
        <v>144.59</v>
      </c>
      <c r="D123" s="5" t="s">
        <v>770</v>
      </c>
      <c r="K123" s="3"/>
      <c r="L123" s="27"/>
    </row>
    <row r="124">
      <c r="A124" s="4">
        <v>46068.0</v>
      </c>
      <c r="B124" s="5" t="s">
        <v>774</v>
      </c>
      <c r="C124" s="6">
        <v>136.93</v>
      </c>
      <c r="D124" s="5" t="s">
        <v>770</v>
      </c>
      <c r="K124" s="3"/>
      <c r="L124" s="27"/>
    </row>
    <row r="125">
      <c r="A125" s="4">
        <v>46068.0</v>
      </c>
      <c r="B125" s="5" t="s">
        <v>775</v>
      </c>
      <c r="C125" s="6">
        <v>64.98</v>
      </c>
      <c r="D125" s="5" t="s">
        <v>770</v>
      </c>
      <c r="K125" s="3"/>
      <c r="L125" s="27"/>
    </row>
    <row r="126">
      <c r="A126" s="4">
        <v>46075.0</v>
      </c>
      <c r="B126" s="5" t="s">
        <v>776</v>
      </c>
      <c r="C126" s="6">
        <v>66.49</v>
      </c>
      <c r="D126" s="5" t="s">
        <v>777</v>
      </c>
      <c r="K126" s="3"/>
      <c r="L126" s="27"/>
    </row>
    <row r="127">
      <c r="A127" s="4">
        <v>46068.0</v>
      </c>
      <c r="B127" s="5" t="s">
        <v>778</v>
      </c>
      <c r="C127" s="6">
        <v>46.83</v>
      </c>
      <c r="D127" s="5" t="s">
        <v>16</v>
      </c>
      <c r="K127" s="3"/>
      <c r="L127" s="27"/>
    </row>
    <row r="128">
      <c r="A128" s="4">
        <v>46074.0</v>
      </c>
      <c r="B128" s="5" t="s">
        <v>244</v>
      </c>
      <c r="C128" s="6">
        <v>11.0</v>
      </c>
      <c r="D128" s="5" t="s">
        <v>777</v>
      </c>
      <c r="K128" s="3"/>
      <c r="L128" s="27"/>
    </row>
    <row r="129">
      <c r="A129" s="4">
        <v>46068.0</v>
      </c>
      <c r="B129" s="5" t="s">
        <v>388</v>
      </c>
      <c r="C129" s="6">
        <v>31.96</v>
      </c>
      <c r="D129" s="5" t="s">
        <v>31</v>
      </c>
      <c r="K129" s="3"/>
      <c r="L129" s="27"/>
    </row>
    <row r="130">
      <c r="A130" s="4">
        <v>46068.0</v>
      </c>
      <c r="B130" s="5" t="s">
        <v>532</v>
      </c>
      <c r="C130" s="6">
        <v>12.0</v>
      </c>
      <c r="D130" s="5" t="s">
        <v>16</v>
      </c>
      <c r="K130" s="3"/>
      <c r="L130" s="27"/>
    </row>
    <row r="131">
      <c r="A131" s="4">
        <v>46068.0</v>
      </c>
      <c r="B131" s="5" t="s">
        <v>779</v>
      </c>
      <c r="C131" s="6">
        <v>3.59</v>
      </c>
      <c r="D131" s="5" t="s">
        <v>31</v>
      </c>
      <c r="K131" s="3"/>
      <c r="L131" s="27"/>
    </row>
    <row r="132">
      <c r="A132" s="4">
        <v>46069.0</v>
      </c>
      <c r="B132" s="5" t="s">
        <v>780</v>
      </c>
      <c r="C132" s="6">
        <v>65.9</v>
      </c>
      <c r="D132" s="5" t="s">
        <v>616</v>
      </c>
      <c r="K132" s="3"/>
      <c r="L132" s="27"/>
    </row>
    <row r="133">
      <c r="A133" s="4">
        <v>46069.0</v>
      </c>
      <c r="B133" s="5" t="s">
        <v>781</v>
      </c>
      <c r="C133" s="6">
        <v>26.05</v>
      </c>
      <c r="D133" s="5" t="s">
        <v>149</v>
      </c>
      <c r="K133" s="3"/>
      <c r="L133" s="27"/>
    </row>
    <row r="134">
      <c r="A134" s="4">
        <v>46070.0</v>
      </c>
      <c r="B134" s="5" t="s">
        <v>782</v>
      </c>
      <c r="C134" s="6">
        <v>285.19</v>
      </c>
      <c r="D134" s="5" t="s">
        <v>783</v>
      </c>
      <c r="K134" s="3"/>
      <c r="L134" s="27"/>
    </row>
    <row r="135">
      <c r="A135" s="4">
        <v>46070.0</v>
      </c>
      <c r="B135" s="5" t="s">
        <v>784</v>
      </c>
      <c r="C135" s="6">
        <v>65.8</v>
      </c>
      <c r="D135" s="5" t="s">
        <v>31</v>
      </c>
      <c r="K135" s="3"/>
      <c r="L135" s="27"/>
    </row>
    <row r="136">
      <c r="A136" s="4">
        <v>46070.0</v>
      </c>
      <c r="B136" s="5" t="s">
        <v>774</v>
      </c>
      <c r="C136" s="6">
        <v>30.98</v>
      </c>
      <c r="D136" s="5" t="s">
        <v>770</v>
      </c>
      <c r="K136" s="3"/>
      <c r="L136" s="27"/>
    </row>
    <row r="137">
      <c r="A137" s="4">
        <v>46070.0</v>
      </c>
      <c r="B137" s="5" t="s">
        <v>785</v>
      </c>
      <c r="C137" s="6">
        <v>28.47</v>
      </c>
      <c r="D137" s="5" t="s">
        <v>31</v>
      </c>
      <c r="K137" s="3"/>
      <c r="L137" s="27"/>
    </row>
    <row r="138">
      <c r="A138" s="4">
        <v>46070.0</v>
      </c>
      <c r="B138" s="5" t="s">
        <v>786</v>
      </c>
      <c r="C138" s="6">
        <v>18.9</v>
      </c>
      <c r="D138" s="5" t="s">
        <v>770</v>
      </c>
      <c r="K138" s="3"/>
      <c r="L138" s="27"/>
    </row>
    <row r="139">
      <c r="A139" s="4">
        <v>46070.0</v>
      </c>
      <c r="B139" s="5" t="s">
        <v>787</v>
      </c>
      <c r="C139" s="6">
        <v>7.0</v>
      </c>
      <c r="D139" s="5" t="s">
        <v>770</v>
      </c>
      <c r="K139" s="3"/>
      <c r="L139" s="27"/>
    </row>
    <row r="140">
      <c r="A140" s="4">
        <v>46070.0</v>
      </c>
      <c r="B140" s="5" t="s">
        <v>788</v>
      </c>
      <c r="C140" s="6">
        <v>3.1</v>
      </c>
      <c r="D140" s="5" t="s">
        <v>770</v>
      </c>
      <c r="K140" s="3"/>
      <c r="L140" s="27"/>
    </row>
    <row r="141">
      <c r="A141" s="4">
        <v>46075.0</v>
      </c>
      <c r="B141" s="5" t="s">
        <v>789</v>
      </c>
      <c r="C141" s="6">
        <v>77.66</v>
      </c>
      <c r="D141" s="5" t="s">
        <v>790</v>
      </c>
      <c r="K141" s="3"/>
      <c r="L141" s="27"/>
    </row>
    <row r="142">
      <c r="A142" s="4">
        <v>46075.0</v>
      </c>
      <c r="B142" s="5" t="s">
        <v>791</v>
      </c>
      <c r="C142" s="6">
        <v>77.34</v>
      </c>
      <c r="D142" s="5" t="s">
        <v>31</v>
      </c>
      <c r="K142" s="3"/>
      <c r="L142" s="27"/>
    </row>
    <row r="143">
      <c r="A143" s="4">
        <v>46074.0</v>
      </c>
      <c r="B143" s="5" t="s">
        <v>792</v>
      </c>
      <c r="C143" s="6">
        <v>13.0</v>
      </c>
      <c r="D143" s="5" t="s">
        <v>777</v>
      </c>
      <c r="K143" s="3"/>
      <c r="L143" s="27"/>
    </row>
    <row r="144">
      <c r="A144" s="4">
        <v>46075.0</v>
      </c>
      <c r="B144" s="5" t="s">
        <v>793</v>
      </c>
      <c r="C144" s="6">
        <v>93.94</v>
      </c>
      <c r="D144" s="5" t="s">
        <v>794</v>
      </c>
      <c r="K144" s="3"/>
      <c r="L144" s="27"/>
    </row>
    <row r="145">
      <c r="A145" s="4">
        <v>46075.0</v>
      </c>
      <c r="B145" s="5" t="s">
        <v>795</v>
      </c>
      <c r="C145" s="6">
        <v>230.0</v>
      </c>
      <c r="D145" s="5" t="s">
        <v>796</v>
      </c>
      <c r="K145" s="3"/>
      <c r="L145" s="27"/>
    </row>
    <row r="146">
      <c r="A146" s="4">
        <v>46075.0</v>
      </c>
      <c r="B146" s="5" t="s">
        <v>797</v>
      </c>
      <c r="C146" s="6">
        <v>77.89</v>
      </c>
      <c r="D146" s="5" t="s">
        <v>149</v>
      </c>
      <c r="K146" s="3"/>
      <c r="L146" s="27"/>
    </row>
    <row r="147">
      <c r="A147" s="4">
        <v>46074.0</v>
      </c>
      <c r="B147" s="5" t="s">
        <v>224</v>
      </c>
      <c r="C147" s="6">
        <v>35.53</v>
      </c>
      <c r="D147" s="5" t="s">
        <v>777</v>
      </c>
      <c r="K147" s="3"/>
      <c r="L147" s="27"/>
    </row>
    <row r="148">
      <c r="A148" s="4">
        <v>46075.0</v>
      </c>
      <c r="B148" s="5" t="s">
        <v>798</v>
      </c>
      <c r="C148" s="6">
        <v>68.0</v>
      </c>
      <c r="D148" s="5" t="s">
        <v>149</v>
      </c>
      <c r="K148" s="3"/>
      <c r="L148" s="27"/>
    </row>
    <row r="149">
      <c r="A149" s="4">
        <v>46054.0</v>
      </c>
      <c r="B149" s="5" t="s">
        <v>799</v>
      </c>
      <c r="C149" s="6">
        <v>89.75</v>
      </c>
      <c r="D149" s="5" t="s">
        <v>695</v>
      </c>
      <c r="K149" s="3"/>
      <c r="L149" s="27"/>
    </row>
    <row r="150">
      <c r="A150" s="4">
        <v>46068.0</v>
      </c>
      <c r="B150" s="5" t="s">
        <v>800</v>
      </c>
      <c r="C150" s="6">
        <v>60.0</v>
      </c>
      <c r="D150" s="5" t="s">
        <v>695</v>
      </c>
      <c r="K150" s="3"/>
      <c r="L150" s="27"/>
    </row>
    <row r="151">
      <c r="A151" s="4">
        <v>46075.0</v>
      </c>
      <c r="B151" s="5" t="s">
        <v>801</v>
      </c>
      <c r="C151" s="6">
        <v>5.0</v>
      </c>
      <c r="D151" s="5" t="s">
        <v>16</v>
      </c>
      <c r="K151" s="3"/>
      <c r="L151" s="27"/>
    </row>
    <row r="152">
      <c r="A152" s="4">
        <v>46075.0</v>
      </c>
      <c r="B152" s="5" t="s">
        <v>802</v>
      </c>
      <c r="C152" s="6">
        <v>49.0</v>
      </c>
      <c r="D152" s="5" t="s">
        <v>803</v>
      </c>
      <c r="K152" s="3"/>
      <c r="L152" s="27"/>
    </row>
    <row r="153">
      <c r="A153" s="4">
        <v>46075.0</v>
      </c>
      <c r="B153" s="5" t="s">
        <v>802</v>
      </c>
      <c r="C153" s="6">
        <v>100.0</v>
      </c>
      <c r="D153" s="5" t="s">
        <v>803</v>
      </c>
      <c r="K153" s="3"/>
      <c r="L153" s="27"/>
    </row>
    <row r="154">
      <c r="A154" s="4">
        <v>46075.0</v>
      </c>
      <c r="B154" s="5" t="s">
        <v>804</v>
      </c>
      <c r="C154" s="6">
        <v>68.0</v>
      </c>
      <c r="D154" s="5" t="s">
        <v>803</v>
      </c>
      <c r="K154" s="3"/>
      <c r="L154" s="27"/>
    </row>
    <row r="155">
      <c r="A155" s="4">
        <v>46074.0</v>
      </c>
      <c r="B155" s="5" t="s">
        <v>532</v>
      </c>
      <c r="C155" s="6">
        <v>12.0</v>
      </c>
      <c r="D155" s="5" t="s">
        <v>805</v>
      </c>
      <c r="K155" s="3"/>
      <c r="L155" s="27"/>
    </row>
    <row r="156">
      <c r="A156" s="4">
        <v>46075.0</v>
      </c>
      <c r="B156" s="5" t="s">
        <v>806</v>
      </c>
      <c r="C156" s="6">
        <v>21.98</v>
      </c>
      <c r="D156" s="5" t="s">
        <v>803</v>
      </c>
      <c r="K156" s="3"/>
      <c r="L156" s="27"/>
    </row>
    <row r="157">
      <c r="A157" s="4">
        <v>46074.0</v>
      </c>
      <c r="B157" s="5" t="s">
        <v>807</v>
      </c>
      <c r="C157" s="6">
        <v>5.0</v>
      </c>
      <c r="D157" s="5" t="s">
        <v>31</v>
      </c>
      <c r="K157" s="3"/>
      <c r="L157" s="27"/>
    </row>
    <row r="158">
      <c r="A158" s="4">
        <v>46075.0</v>
      </c>
      <c r="B158" s="5" t="s">
        <v>802</v>
      </c>
      <c r="C158" s="6">
        <v>24.0</v>
      </c>
      <c r="D158" s="5" t="s">
        <v>803</v>
      </c>
      <c r="K158" s="3"/>
      <c r="L158" s="27"/>
    </row>
    <row r="159">
      <c r="A159" s="4">
        <v>46075.0</v>
      </c>
      <c r="B159" s="5" t="s">
        <v>808</v>
      </c>
      <c r="C159" s="6">
        <v>12.0</v>
      </c>
      <c r="D159" s="5" t="s">
        <v>803</v>
      </c>
      <c r="K159" s="3"/>
      <c r="L159" s="27"/>
    </row>
    <row r="160">
      <c r="A160" s="4">
        <v>46074.0</v>
      </c>
      <c r="B160" s="5" t="s">
        <v>809</v>
      </c>
      <c r="C160" s="6">
        <v>80.0</v>
      </c>
      <c r="D160" s="5" t="s">
        <v>810</v>
      </c>
      <c r="K160" s="3"/>
      <c r="L160" s="27"/>
    </row>
    <row r="161">
      <c r="A161" s="4">
        <v>46073.0</v>
      </c>
      <c r="B161" s="5" t="s">
        <v>811</v>
      </c>
      <c r="C161" s="6">
        <v>46.0</v>
      </c>
      <c r="D161" s="5" t="s">
        <v>812</v>
      </c>
      <c r="K161" s="3"/>
      <c r="L161" s="27"/>
    </row>
    <row r="162">
      <c r="A162" s="4">
        <v>46072.0</v>
      </c>
      <c r="B162" s="5" t="s">
        <v>811</v>
      </c>
      <c r="C162" s="6">
        <v>36.27</v>
      </c>
      <c r="D162" s="5" t="s">
        <v>812</v>
      </c>
      <c r="K162" s="3"/>
      <c r="L162" s="27"/>
    </row>
    <row r="163">
      <c r="A163" s="4">
        <v>46072.0</v>
      </c>
      <c r="B163" s="5" t="s">
        <v>216</v>
      </c>
      <c r="C163" s="6">
        <v>39.44</v>
      </c>
      <c r="D163" s="5" t="s">
        <v>132</v>
      </c>
      <c r="K163" s="3"/>
      <c r="L163" s="27"/>
    </row>
    <row r="164">
      <c r="A164" s="4">
        <v>46072.0</v>
      </c>
      <c r="B164" s="5" t="s">
        <v>807</v>
      </c>
      <c r="C164" s="5">
        <v>21.3</v>
      </c>
      <c r="D164" s="5" t="s">
        <v>31</v>
      </c>
      <c r="K164" s="3"/>
      <c r="L164" s="27"/>
    </row>
    <row r="165">
      <c r="A165" s="4">
        <v>46071.0</v>
      </c>
      <c r="B165" s="5" t="s">
        <v>813</v>
      </c>
      <c r="C165" s="6">
        <v>32.96</v>
      </c>
      <c r="D165" s="5" t="s">
        <v>31</v>
      </c>
      <c r="K165" s="3"/>
      <c r="L165" s="27"/>
    </row>
    <row r="166">
      <c r="A166" s="4"/>
      <c r="B166" s="5"/>
      <c r="C166" s="6"/>
      <c r="D166" s="5"/>
      <c r="K166" s="3"/>
      <c r="L166" s="27"/>
    </row>
    <row r="167">
      <c r="A167" s="4"/>
      <c r="B167" s="5"/>
      <c r="C167" s="6"/>
      <c r="D167" s="5"/>
      <c r="K167" s="3"/>
      <c r="L167" s="27"/>
    </row>
    <row r="168">
      <c r="A168" s="4"/>
      <c r="B168" s="5"/>
      <c r="C168" s="6"/>
      <c r="D168" s="5"/>
      <c r="K168" s="3"/>
      <c r="L168" s="27"/>
    </row>
    <row r="169">
      <c r="A169" s="4"/>
      <c r="B169" s="5"/>
      <c r="C169" s="6"/>
      <c r="D169" s="5"/>
      <c r="K169" s="3"/>
      <c r="L169" s="27"/>
    </row>
    <row r="170">
      <c r="A170" s="4"/>
      <c r="B170" s="5"/>
      <c r="C170" s="6"/>
      <c r="D170" s="5"/>
      <c r="K170" s="3"/>
      <c r="L170" s="27"/>
    </row>
    <row r="171">
      <c r="A171" s="4"/>
      <c r="B171" s="5"/>
      <c r="C171" s="6"/>
      <c r="D171" s="5"/>
      <c r="K171" s="3"/>
      <c r="L171" s="27"/>
    </row>
    <row r="172">
      <c r="A172" s="4"/>
      <c r="B172" s="5"/>
      <c r="C172" s="6"/>
      <c r="D172" s="5"/>
      <c r="K172" s="3"/>
      <c r="L172" s="27"/>
    </row>
    <row r="173">
      <c r="A173" s="4"/>
      <c r="B173" s="5"/>
      <c r="C173" s="6"/>
      <c r="D173" s="5"/>
      <c r="K173" s="3"/>
      <c r="L173" s="27"/>
    </row>
    <row r="174">
      <c r="A174" s="4"/>
      <c r="B174" s="5"/>
      <c r="C174" s="6"/>
      <c r="D174" s="5"/>
      <c r="K174" s="3"/>
      <c r="L174" s="27"/>
    </row>
    <row r="175">
      <c r="A175" s="4"/>
      <c r="B175" s="5"/>
      <c r="C175" s="6"/>
      <c r="D175" s="5"/>
      <c r="K175" s="3"/>
      <c r="L175" s="27"/>
    </row>
    <row r="176">
      <c r="A176" s="4"/>
      <c r="B176" s="5"/>
      <c r="C176" s="6"/>
      <c r="D176" s="5"/>
      <c r="K176" s="3"/>
      <c r="L176" s="27"/>
    </row>
    <row r="177">
      <c r="A177" s="4"/>
      <c r="B177" s="5"/>
      <c r="C177" s="6"/>
      <c r="D177" s="5"/>
      <c r="K177" s="3"/>
      <c r="L177" s="27"/>
    </row>
    <row r="178">
      <c r="A178" s="4"/>
      <c r="B178" s="5"/>
      <c r="C178" s="6"/>
      <c r="D178" s="5"/>
      <c r="K178" s="3"/>
      <c r="L178" s="27"/>
    </row>
    <row r="179">
      <c r="A179" s="4"/>
      <c r="B179" s="5"/>
      <c r="C179" s="6"/>
      <c r="D179" s="5"/>
      <c r="K179" s="3"/>
      <c r="L179" s="27"/>
    </row>
    <row r="180">
      <c r="A180" s="4"/>
      <c r="B180" s="5"/>
      <c r="C180" s="6"/>
      <c r="D180" s="5"/>
      <c r="K180" s="3"/>
      <c r="L180" s="27"/>
    </row>
    <row r="181">
      <c r="A181" s="4"/>
      <c r="B181" s="5"/>
      <c r="C181" s="6"/>
      <c r="D181" s="5"/>
      <c r="K181" s="3"/>
      <c r="L181" s="27"/>
    </row>
    <row r="182">
      <c r="A182" s="4"/>
      <c r="B182" s="5"/>
      <c r="C182" s="6"/>
      <c r="D182" s="5"/>
      <c r="K182" s="3"/>
      <c r="L182" s="27"/>
    </row>
    <row r="183">
      <c r="C183" s="22"/>
      <c r="K183" s="3"/>
      <c r="L183" s="27"/>
    </row>
    <row r="184">
      <c r="C184" s="22"/>
      <c r="K184" s="3"/>
      <c r="L184" s="27"/>
    </row>
    <row r="185">
      <c r="C185" s="22"/>
      <c r="K185" s="3"/>
      <c r="L185" s="27"/>
    </row>
    <row r="186">
      <c r="C186" s="22"/>
      <c r="K186" s="3"/>
      <c r="L186" s="27"/>
    </row>
    <row r="187">
      <c r="C187" s="22"/>
      <c r="K187" s="3"/>
      <c r="L187" s="27"/>
    </row>
    <row r="188">
      <c r="C188" s="22"/>
      <c r="K188" s="3"/>
      <c r="L188" s="27"/>
    </row>
    <row r="189">
      <c r="C189" s="22"/>
      <c r="K189" s="3"/>
      <c r="L189" s="27"/>
    </row>
    <row r="190">
      <c r="C190" s="22"/>
      <c r="K190" s="3"/>
      <c r="L190" s="27"/>
    </row>
    <row r="191">
      <c r="C191" s="22"/>
      <c r="K191" s="3"/>
      <c r="L191" s="27"/>
    </row>
    <row r="192">
      <c r="C192" s="22"/>
      <c r="K192" s="3"/>
      <c r="L192" s="27"/>
    </row>
    <row r="193">
      <c r="C193" s="22"/>
      <c r="K193" s="3"/>
      <c r="L193" s="27"/>
    </row>
    <row r="194">
      <c r="C194" s="22"/>
      <c r="K194" s="3"/>
      <c r="L194" s="27"/>
    </row>
    <row r="195">
      <c r="C195" s="22"/>
      <c r="K195" s="3"/>
      <c r="L195" s="27"/>
    </row>
    <row r="196">
      <c r="C196" s="22"/>
      <c r="K196" s="3"/>
      <c r="L196" s="27"/>
    </row>
    <row r="197">
      <c r="C197" s="22"/>
      <c r="K197" s="3"/>
      <c r="L197" s="27"/>
    </row>
    <row r="198">
      <c r="C198" s="22"/>
      <c r="K198" s="3"/>
      <c r="L198" s="27"/>
    </row>
    <row r="199"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C818" s="22"/>
      <c r="K818" s="3"/>
      <c r="L818" s="27"/>
    </row>
    <row r="819">
      <c r="C819" s="22"/>
      <c r="K819" s="3"/>
      <c r="L819" s="27"/>
    </row>
    <row r="820">
      <c r="C820" s="22"/>
      <c r="K820" s="3"/>
      <c r="L820" s="27"/>
    </row>
    <row r="821">
      <c r="C821" s="22"/>
      <c r="K821" s="3"/>
      <c r="L821" s="27"/>
    </row>
    <row r="822">
      <c r="C822" s="22"/>
      <c r="K822" s="3"/>
      <c r="L822" s="27"/>
    </row>
    <row r="823">
      <c r="C823" s="22"/>
      <c r="K823" s="3"/>
      <c r="L823" s="27"/>
    </row>
    <row r="824">
      <c r="C824" s="22"/>
      <c r="K824" s="3"/>
      <c r="L824" s="27"/>
    </row>
    <row r="825">
      <c r="C825" s="22"/>
      <c r="K825" s="3"/>
      <c r="L825" s="27"/>
    </row>
    <row r="826">
      <c r="C826" s="22"/>
      <c r="K826" s="3"/>
      <c r="L826" s="27"/>
    </row>
    <row r="827">
      <c r="C827" s="22"/>
      <c r="K827" s="3"/>
      <c r="L827" s="27"/>
    </row>
    <row r="828">
      <c r="C828" s="22"/>
      <c r="K828" s="3"/>
      <c r="L828" s="27"/>
    </row>
    <row r="829">
      <c r="C829" s="22"/>
      <c r="K829" s="3"/>
      <c r="L829" s="27"/>
    </row>
    <row r="830">
      <c r="C830" s="22"/>
      <c r="K830" s="3"/>
      <c r="L830" s="27"/>
    </row>
    <row r="831">
      <c r="C831" s="22"/>
      <c r="K831" s="3"/>
      <c r="L831" s="27"/>
    </row>
    <row r="832">
      <c r="C832" s="22"/>
      <c r="K832" s="3"/>
      <c r="L832" s="27"/>
    </row>
    <row r="833"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C862" s="22"/>
      <c r="K862" s="3"/>
      <c r="L862" s="27"/>
    </row>
    <row r="863">
      <c r="C863" s="22"/>
      <c r="K863" s="3"/>
      <c r="L863" s="27"/>
    </row>
    <row r="864">
      <c r="C864" s="22"/>
      <c r="K864" s="3"/>
      <c r="L864" s="27"/>
    </row>
    <row r="865">
      <c r="C865" s="22"/>
      <c r="K865" s="3"/>
      <c r="L865" s="27"/>
    </row>
    <row r="866">
      <c r="C866" s="22"/>
      <c r="K866" s="3"/>
      <c r="L866" s="27"/>
    </row>
    <row r="867">
      <c r="C867" s="22"/>
      <c r="K867" s="3"/>
      <c r="L867" s="27"/>
    </row>
    <row r="868">
      <c r="C868" s="22"/>
      <c r="K868" s="3"/>
      <c r="L868" s="27"/>
    </row>
    <row r="869">
      <c r="C869" s="22"/>
      <c r="K869" s="3"/>
      <c r="L869" s="27"/>
    </row>
    <row r="870">
      <c r="C870" s="22"/>
      <c r="K870" s="3"/>
      <c r="L870" s="27"/>
    </row>
    <row r="871">
      <c r="C871" s="22"/>
      <c r="K871" s="3"/>
      <c r="L871" s="27"/>
    </row>
    <row r="872">
      <c r="C872" s="22"/>
      <c r="K872" s="3"/>
      <c r="L872" s="27"/>
    </row>
    <row r="873">
      <c r="C873" s="22"/>
      <c r="K873" s="3"/>
      <c r="L873" s="27"/>
    </row>
    <row r="874">
      <c r="C874" s="22"/>
      <c r="K874" s="3"/>
      <c r="L874" s="27"/>
    </row>
    <row r="875">
      <c r="C875" s="22"/>
      <c r="K875" s="3"/>
      <c r="L875" s="27"/>
    </row>
    <row r="876">
      <c r="C876" s="22"/>
      <c r="K876" s="3"/>
      <c r="L876" s="27"/>
    </row>
    <row r="877">
      <c r="C877" s="22"/>
      <c r="K877" s="3"/>
      <c r="L877" s="27"/>
    </row>
    <row r="878"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L882" s="27"/>
    </row>
    <row r="883">
      <c r="L883" s="27"/>
    </row>
  </sheetData>
  <autoFilter ref="$A$1:$D$182">
    <sortState ref="A1:D182">
      <sortCondition ref="D1:D182"/>
      <sortCondition ref="A1:A182"/>
      <sortCondition descending="1" ref="C1:C182"/>
    </sortState>
  </autoFilter>
  <mergeCells count="4">
    <mergeCell ref="J2:K2"/>
    <mergeCell ref="J10:K10"/>
    <mergeCell ref="J21:K21"/>
    <mergeCell ref="J29:K29"/>
  </mergeCells>
  <conditionalFormatting sqref="L1:L883">
    <cfRule type="containsText" dxfId="0" priority="1" operator="containsText" text="Pago">
      <formula>NOT(ISERROR(SEARCH(("Pago"),(L1))))</formula>
    </cfRule>
  </conditionalFormatting>
  <conditionalFormatting sqref="L1:L883">
    <cfRule type="containsText" dxfId="1" priority="2" operator="containsText" text="Pendente">
      <formula>NOT(ISERROR(SEARCH(("Pendente"),(L1))))</formula>
    </cfRule>
  </conditionalFormatting>
  <hyperlinks>
    <hyperlink r:id="rId2" ref="B7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2" width="37.75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92" t="s">
        <v>3</v>
      </c>
      <c r="K1" s="3"/>
      <c r="L1" s="27"/>
    </row>
    <row r="2">
      <c r="A2" s="101">
        <v>46068.0</v>
      </c>
      <c r="B2" s="80" t="s">
        <v>814</v>
      </c>
      <c r="C2" s="102">
        <v>412.32</v>
      </c>
      <c r="D2" s="103" t="s">
        <v>417</v>
      </c>
      <c r="F2" s="28" t="s">
        <v>145</v>
      </c>
      <c r="G2" s="29">
        <f>SUM(C:C)</f>
        <v>2124.22</v>
      </c>
      <c r="L2" s="27"/>
    </row>
    <row r="3">
      <c r="A3" s="101">
        <v>46076.0</v>
      </c>
      <c r="B3" s="80" t="s">
        <v>815</v>
      </c>
      <c r="C3" s="102">
        <v>227.0</v>
      </c>
      <c r="D3" s="103" t="s">
        <v>816</v>
      </c>
      <c r="L3" s="27"/>
    </row>
    <row r="4">
      <c r="A4" s="101">
        <v>46053.0</v>
      </c>
      <c r="B4" s="80" t="s">
        <v>817</v>
      </c>
      <c r="C4" s="102">
        <v>176.4</v>
      </c>
      <c r="D4" s="103" t="s">
        <v>149</v>
      </c>
      <c r="J4" s="66" t="s">
        <v>340</v>
      </c>
      <c r="K4" s="67"/>
      <c r="L4" s="27"/>
    </row>
    <row r="5">
      <c r="A5" s="104">
        <v>46058.0</v>
      </c>
      <c r="B5" s="80" t="s">
        <v>818</v>
      </c>
      <c r="C5" s="102">
        <v>150.0</v>
      </c>
      <c r="D5" s="103" t="s">
        <v>819</v>
      </c>
      <c r="J5" s="8" t="s">
        <v>6</v>
      </c>
      <c r="K5" s="8">
        <f>G2</f>
        <v>2124.22</v>
      </c>
      <c r="L5" s="27"/>
    </row>
    <row r="6">
      <c r="A6" s="101">
        <v>46049.0</v>
      </c>
      <c r="B6" s="103" t="s">
        <v>821</v>
      </c>
      <c r="C6" s="102">
        <v>117.01</v>
      </c>
      <c r="D6" s="103" t="s">
        <v>13</v>
      </c>
      <c r="J6" s="8" t="s">
        <v>705</v>
      </c>
      <c r="K6" s="8">
        <v>117.01</v>
      </c>
      <c r="L6" s="27"/>
    </row>
    <row r="7">
      <c r="A7" s="101">
        <v>46075.0</v>
      </c>
      <c r="B7" s="103" t="s">
        <v>822</v>
      </c>
      <c r="C7" s="102">
        <v>116.66</v>
      </c>
      <c r="D7" s="80" t="s">
        <v>823</v>
      </c>
      <c r="J7" s="8" t="s">
        <v>825</v>
      </c>
      <c r="K7" s="8">
        <v>117.01</v>
      </c>
      <c r="L7" s="27"/>
    </row>
    <row r="8">
      <c r="A8" s="101">
        <v>46074.0</v>
      </c>
      <c r="B8" s="103" t="s">
        <v>826</v>
      </c>
      <c r="C8" s="102">
        <v>113.88</v>
      </c>
      <c r="D8" s="103" t="s">
        <v>149</v>
      </c>
      <c r="L8" s="27"/>
    </row>
    <row r="9">
      <c r="A9" s="101">
        <v>46068.0</v>
      </c>
      <c r="B9" s="80" t="s">
        <v>828</v>
      </c>
      <c r="C9" s="102">
        <v>69.78</v>
      </c>
      <c r="D9" s="103" t="s">
        <v>183</v>
      </c>
      <c r="J9" s="5" t="s">
        <v>338</v>
      </c>
      <c r="K9" s="8">
        <f>sum(K6)</f>
        <v>117.01</v>
      </c>
      <c r="L9" s="27"/>
    </row>
    <row r="10">
      <c r="A10" s="101">
        <v>46075.0</v>
      </c>
      <c r="B10" s="103" t="s">
        <v>829</v>
      </c>
      <c r="C10" s="102">
        <v>59.95</v>
      </c>
      <c r="D10" s="80" t="s">
        <v>823</v>
      </c>
      <c r="J10" s="64" t="s">
        <v>353</v>
      </c>
      <c r="K10" s="65">
        <f>K5-K9</f>
        <v>2007.21</v>
      </c>
    </row>
    <row r="11">
      <c r="A11" s="101">
        <v>46049.0</v>
      </c>
      <c r="B11" s="103" t="s">
        <v>831</v>
      </c>
      <c r="C11" s="102">
        <v>59.92</v>
      </c>
      <c r="D11" s="103" t="s">
        <v>832</v>
      </c>
    </row>
    <row r="12">
      <c r="A12" s="101">
        <v>46056.0</v>
      </c>
      <c r="B12" s="103" t="s">
        <v>833</v>
      </c>
      <c r="C12" s="102">
        <v>59.26</v>
      </c>
      <c r="D12" s="80" t="s">
        <v>834</v>
      </c>
    </row>
    <row r="13">
      <c r="A13" s="101">
        <v>46068.0</v>
      </c>
      <c r="B13" s="103" t="s">
        <v>826</v>
      </c>
      <c r="C13" s="102">
        <v>52.97</v>
      </c>
      <c r="D13" s="103" t="s">
        <v>149</v>
      </c>
      <c r="J13" s="88">
        <v>2124.21</v>
      </c>
    </row>
    <row r="14">
      <c r="A14" s="101">
        <v>46049.0</v>
      </c>
      <c r="B14" s="103" t="s">
        <v>836</v>
      </c>
      <c r="C14" s="102">
        <v>44.91</v>
      </c>
      <c r="D14" s="103" t="s">
        <v>823</v>
      </c>
      <c r="J14" s="88">
        <v>252.12</v>
      </c>
    </row>
    <row r="15">
      <c r="A15" s="101">
        <v>46067.0</v>
      </c>
      <c r="B15" s="80" t="s">
        <v>838</v>
      </c>
      <c r="C15" s="102">
        <v>40.0</v>
      </c>
      <c r="D15" s="103" t="s">
        <v>771</v>
      </c>
      <c r="J15" s="7">
        <f>J13-J14</f>
        <v>1872.09</v>
      </c>
    </row>
    <row r="16">
      <c r="A16" s="101">
        <v>46067.0</v>
      </c>
      <c r="B16" s="80" t="s">
        <v>838</v>
      </c>
      <c r="C16" s="102">
        <v>40.0</v>
      </c>
      <c r="D16" s="103" t="s">
        <v>771</v>
      </c>
    </row>
    <row r="17">
      <c r="A17" s="101">
        <v>46067.0</v>
      </c>
      <c r="B17" s="80" t="s">
        <v>838</v>
      </c>
      <c r="C17" s="102">
        <v>40.0</v>
      </c>
      <c r="D17" s="103" t="s">
        <v>771</v>
      </c>
    </row>
    <row r="18">
      <c r="A18" s="101">
        <v>46067.0</v>
      </c>
      <c r="B18" s="80" t="s">
        <v>839</v>
      </c>
      <c r="C18" s="102">
        <v>35.0</v>
      </c>
      <c r="D18" s="103" t="s">
        <v>771</v>
      </c>
    </row>
    <row r="19">
      <c r="A19" s="101">
        <v>46066.0</v>
      </c>
      <c r="B19" s="103" t="s">
        <v>840</v>
      </c>
      <c r="C19" s="102">
        <v>33.75</v>
      </c>
      <c r="D19" s="103" t="s">
        <v>149</v>
      </c>
    </row>
    <row r="20">
      <c r="A20" s="101">
        <v>46049.0</v>
      </c>
      <c r="B20" s="103" t="s">
        <v>841</v>
      </c>
      <c r="C20" s="102">
        <v>33.32</v>
      </c>
      <c r="D20" s="103" t="s">
        <v>832</v>
      </c>
    </row>
    <row r="21">
      <c r="A21" s="101">
        <v>46065.0</v>
      </c>
      <c r="B21" s="103" t="s">
        <v>840</v>
      </c>
      <c r="C21" s="102">
        <v>32.79</v>
      </c>
      <c r="D21" s="103" t="s">
        <v>149</v>
      </c>
    </row>
    <row r="22">
      <c r="A22" s="101">
        <v>46067.0</v>
      </c>
      <c r="B22" s="80" t="s">
        <v>839</v>
      </c>
      <c r="C22" s="102">
        <v>30.0</v>
      </c>
      <c r="D22" s="103" t="s">
        <v>771</v>
      </c>
    </row>
    <row r="23">
      <c r="A23" s="101">
        <v>46049.0</v>
      </c>
      <c r="B23" s="102" t="s">
        <v>842</v>
      </c>
      <c r="C23" s="102">
        <v>25.0</v>
      </c>
      <c r="D23" s="103" t="s">
        <v>49</v>
      </c>
    </row>
    <row r="24">
      <c r="A24" s="101">
        <v>46051.0</v>
      </c>
      <c r="B24" s="80" t="s">
        <v>502</v>
      </c>
      <c r="C24" s="102">
        <v>24.02</v>
      </c>
      <c r="D24" s="103" t="s">
        <v>748</v>
      </c>
    </row>
    <row r="25">
      <c r="A25" s="104">
        <v>46057.0</v>
      </c>
      <c r="B25" s="103" t="s">
        <v>843</v>
      </c>
      <c r="C25" s="102">
        <v>19.9</v>
      </c>
      <c r="D25" s="103" t="s">
        <v>67</v>
      </c>
    </row>
    <row r="26">
      <c r="A26" s="101">
        <v>46075.0</v>
      </c>
      <c r="B26" s="80" t="s">
        <v>844</v>
      </c>
      <c r="C26" s="102">
        <v>19.86</v>
      </c>
      <c r="D26" s="103" t="s">
        <v>183</v>
      </c>
    </row>
    <row r="27">
      <c r="A27" s="104">
        <v>46058.0</v>
      </c>
      <c r="B27" s="80" t="s">
        <v>841</v>
      </c>
      <c r="C27" s="102">
        <v>18.08</v>
      </c>
      <c r="D27" s="103" t="s">
        <v>832</v>
      </c>
    </row>
    <row r="28">
      <c r="A28" s="104">
        <v>46054.0</v>
      </c>
      <c r="B28" s="80" t="s">
        <v>845</v>
      </c>
      <c r="C28" s="102">
        <v>14.0</v>
      </c>
      <c r="D28" s="103" t="s">
        <v>31</v>
      </c>
    </row>
    <row r="29">
      <c r="A29" s="101">
        <v>46051.0</v>
      </c>
      <c r="B29" s="80" t="s">
        <v>502</v>
      </c>
      <c r="C29" s="102">
        <v>12.99</v>
      </c>
      <c r="D29" s="103" t="s">
        <v>748</v>
      </c>
    </row>
    <row r="30">
      <c r="A30" s="105">
        <v>46056.0</v>
      </c>
      <c r="B30" s="103" t="s">
        <v>846</v>
      </c>
      <c r="C30" s="102">
        <v>9.99</v>
      </c>
      <c r="D30" s="103" t="s">
        <v>67</v>
      </c>
    </row>
    <row r="31">
      <c r="A31" s="101">
        <v>46067.0</v>
      </c>
      <c r="B31" s="80" t="s">
        <v>839</v>
      </c>
      <c r="C31" s="102">
        <v>9.99</v>
      </c>
      <c r="D31" s="103" t="s">
        <v>771</v>
      </c>
    </row>
    <row r="32">
      <c r="A32" s="101">
        <v>46062.0</v>
      </c>
      <c r="B32" s="80" t="s">
        <v>847</v>
      </c>
      <c r="C32" s="102">
        <v>8.23</v>
      </c>
      <c r="D32" s="80" t="s">
        <v>823</v>
      </c>
    </row>
    <row r="33">
      <c r="A33" s="101">
        <v>46068.0</v>
      </c>
      <c r="B33" s="80" t="s">
        <v>388</v>
      </c>
      <c r="C33" s="102">
        <v>6.74</v>
      </c>
      <c r="D33" s="103" t="s">
        <v>31</v>
      </c>
    </row>
    <row r="34">
      <c r="A34" s="101">
        <v>46052.0</v>
      </c>
      <c r="B34" s="80" t="s">
        <v>848</v>
      </c>
      <c r="C34" s="102">
        <v>6.0</v>
      </c>
      <c r="D34" s="103" t="s">
        <v>31</v>
      </c>
    </row>
    <row r="35">
      <c r="A35" s="101">
        <v>46067.0</v>
      </c>
      <c r="B35" s="80" t="s">
        <v>525</v>
      </c>
      <c r="C35" s="102">
        <v>4.5</v>
      </c>
      <c r="D35" s="103" t="s">
        <v>771</v>
      </c>
    </row>
    <row r="44">
      <c r="L44" s="27"/>
    </row>
    <row r="45">
      <c r="L45" s="27"/>
    </row>
    <row r="46">
      <c r="L46" s="27"/>
    </row>
    <row r="47">
      <c r="L47" s="27"/>
    </row>
    <row r="48">
      <c r="L48" s="27"/>
    </row>
    <row r="49">
      <c r="L49" s="27"/>
    </row>
    <row r="50">
      <c r="L50" s="27"/>
    </row>
    <row r="51">
      <c r="L51" s="27"/>
    </row>
    <row r="52">
      <c r="L52" s="27"/>
    </row>
    <row r="53">
      <c r="L53" s="27"/>
    </row>
    <row r="54">
      <c r="L54" s="27"/>
    </row>
    <row r="55">
      <c r="L55" s="27"/>
    </row>
    <row r="56">
      <c r="K56" s="3"/>
      <c r="L56" s="27"/>
    </row>
    <row r="57">
      <c r="K57" s="3"/>
      <c r="L57" s="27"/>
    </row>
    <row r="58">
      <c r="K58" s="3"/>
      <c r="L58" s="27"/>
    </row>
    <row r="59">
      <c r="K59" s="3"/>
      <c r="L59" s="27"/>
    </row>
    <row r="60">
      <c r="K60" s="3"/>
      <c r="L60" s="27"/>
    </row>
    <row r="61">
      <c r="K61" s="3"/>
      <c r="L61" s="27"/>
    </row>
    <row r="62">
      <c r="K62" s="3"/>
      <c r="L62" s="27"/>
    </row>
    <row r="63">
      <c r="K63" s="3"/>
      <c r="L63" s="27"/>
    </row>
    <row r="64">
      <c r="K64" s="3"/>
      <c r="L64" s="27"/>
    </row>
    <row r="65">
      <c r="K65" s="3"/>
      <c r="L65" s="27"/>
    </row>
    <row r="66">
      <c r="K66" s="3"/>
      <c r="L66" s="27"/>
    </row>
    <row r="67">
      <c r="K67" s="3"/>
      <c r="L67" s="27"/>
    </row>
    <row r="68">
      <c r="K68" s="3"/>
      <c r="L68" s="27"/>
    </row>
    <row r="69">
      <c r="K69" s="3"/>
      <c r="L69" s="27"/>
    </row>
    <row r="70">
      <c r="K70" s="3"/>
      <c r="L70" s="27"/>
    </row>
    <row r="71">
      <c r="K71" s="3"/>
      <c r="L71" s="27"/>
    </row>
    <row r="72">
      <c r="K72" s="3"/>
      <c r="L72" s="27"/>
    </row>
    <row r="73">
      <c r="K73" s="3"/>
      <c r="L73" s="27"/>
    </row>
    <row r="74">
      <c r="K74" s="3"/>
      <c r="L74" s="27"/>
    </row>
    <row r="75">
      <c r="K75" s="3"/>
      <c r="L75" s="27"/>
    </row>
    <row r="76">
      <c r="K76" s="3"/>
      <c r="L76" s="27"/>
    </row>
    <row r="77">
      <c r="K77" s="3"/>
      <c r="L77" s="27"/>
    </row>
    <row r="78">
      <c r="K78" s="3"/>
      <c r="L78" s="27"/>
    </row>
    <row r="79">
      <c r="K79" s="3"/>
      <c r="L79" s="27"/>
    </row>
    <row r="80">
      <c r="K80" s="3"/>
      <c r="L80" s="27"/>
    </row>
    <row r="81">
      <c r="K81" s="3"/>
      <c r="L81" s="27"/>
    </row>
    <row r="82">
      <c r="K82" s="3"/>
      <c r="L82" s="27"/>
    </row>
    <row r="83">
      <c r="K83" s="3"/>
      <c r="L83" s="27"/>
    </row>
    <row r="84">
      <c r="K84" s="3"/>
      <c r="L84" s="27"/>
    </row>
    <row r="85">
      <c r="K85" s="3"/>
      <c r="L85" s="27"/>
    </row>
    <row r="86">
      <c r="K86" s="3"/>
      <c r="L86" s="27"/>
    </row>
    <row r="87">
      <c r="K87" s="3"/>
      <c r="L87" s="27"/>
    </row>
    <row r="88">
      <c r="K88" s="3"/>
      <c r="L88" s="27"/>
    </row>
    <row r="89">
      <c r="K89" s="3"/>
      <c r="L89" s="27"/>
    </row>
    <row r="90">
      <c r="K90" s="3"/>
      <c r="L90" s="27"/>
    </row>
    <row r="91">
      <c r="K91" s="3"/>
      <c r="L91" s="27"/>
    </row>
    <row r="92">
      <c r="K92" s="3"/>
      <c r="L92" s="27"/>
    </row>
    <row r="93">
      <c r="K93" s="3"/>
      <c r="L93" s="27"/>
    </row>
    <row r="94">
      <c r="K94" s="3"/>
      <c r="L94" s="27"/>
    </row>
    <row r="95">
      <c r="K95" s="3"/>
      <c r="L95" s="27"/>
    </row>
    <row r="96">
      <c r="K96" s="3"/>
      <c r="L96" s="27"/>
    </row>
    <row r="97">
      <c r="K97" s="3"/>
      <c r="L97" s="27"/>
    </row>
    <row r="98">
      <c r="K98" s="3"/>
      <c r="L98" s="27"/>
    </row>
    <row r="99">
      <c r="K99" s="3"/>
      <c r="L99" s="27"/>
    </row>
    <row r="100">
      <c r="K100" s="3"/>
      <c r="L100" s="27"/>
    </row>
    <row r="101">
      <c r="K101" s="3"/>
      <c r="L101" s="27"/>
    </row>
    <row r="102">
      <c r="K102" s="3"/>
      <c r="L102" s="27"/>
    </row>
    <row r="103">
      <c r="K103" s="3"/>
      <c r="L103" s="27"/>
    </row>
    <row r="104">
      <c r="K104" s="3"/>
      <c r="L104" s="27"/>
    </row>
    <row r="105">
      <c r="K105" s="3"/>
      <c r="L105" s="27"/>
    </row>
    <row r="106">
      <c r="K106" s="3"/>
      <c r="L106" s="27"/>
    </row>
    <row r="107">
      <c r="K107" s="3"/>
      <c r="L107" s="27"/>
    </row>
    <row r="108">
      <c r="K108" s="3"/>
      <c r="L108" s="27"/>
    </row>
    <row r="109">
      <c r="K109" s="3"/>
      <c r="L109" s="27"/>
    </row>
    <row r="110">
      <c r="K110" s="3"/>
      <c r="L110" s="27"/>
    </row>
    <row r="111">
      <c r="K111" s="3"/>
      <c r="L111" s="27"/>
    </row>
    <row r="112">
      <c r="K112" s="3"/>
      <c r="L112" s="27"/>
    </row>
    <row r="113">
      <c r="K113" s="3"/>
      <c r="L113" s="27"/>
    </row>
    <row r="114">
      <c r="K114" s="3"/>
      <c r="L114" s="27"/>
    </row>
    <row r="115">
      <c r="K115" s="3"/>
      <c r="L115" s="27"/>
    </row>
    <row r="116">
      <c r="K116" s="3"/>
      <c r="L116" s="27"/>
    </row>
    <row r="117">
      <c r="K117" s="3"/>
      <c r="L117" s="27"/>
    </row>
    <row r="118">
      <c r="K118" s="3"/>
      <c r="L118" s="27"/>
    </row>
    <row r="119">
      <c r="K119" s="3"/>
      <c r="L119" s="27"/>
    </row>
    <row r="120">
      <c r="K120" s="3"/>
      <c r="L120" s="27"/>
    </row>
    <row r="121">
      <c r="K121" s="3"/>
      <c r="L121" s="27"/>
    </row>
    <row r="122">
      <c r="K122" s="3"/>
      <c r="L122" s="27"/>
    </row>
    <row r="123">
      <c r="K123" s="3"/>
      <c r="L123" s="27"/>
    </row>
    <row r="124">
      <c r="K124" s="3"/>
      <c r="L124" s="27"/>
    </row>
    <row r="125">
      <c r="K125" s="3"/>
      <c r="L125" s="27"/>
    </row>
    <row r="126">
      <c r="K126" s="3"/>
      <c r="L126" s="27"/>
    </row>
    <row r="127">
      <c r="K127" s="3"/>
      <c r="L127" s="27"/>
    </row>
    <row r="128">
      <c r="K128" s="3"/>
      <c r="L128" s="27"/>
    </row>
    <row r="129">
      <c r="K129" s="3"/>
      <c r="L129" s="27"/>
    </row>
    <row r="130">
      <c r="K130" s="3"/>
      <c r="L130" s="27"/>
    </row>
    <row r="131">
      <c r="K131" s="3"/>
      <c r="L131" s="27"/>
    </row>
    <row r="132">
      <c r="K132" s="3"/>
      <c r="L132" s="27"/>
    </row>
    <row r="133">
      <c r="K133" s="3"/>
      <c r="L133" s="27"/>
    </row>
    <row r="134">
      <c r="K134" s="3"/>
      <c r="L134" s="27"/>
    </row>
    <row r="135">
      <c r="K135" s="3"/>
      <c r="L135" s="27"/>
    </row>
    <row r="136">
      <c r="K136" s="3"/>
      <c r="L136" s="27"/>
    </row>
    <row r="137">
      <c r="K137" s="3"/>
      <c r="L137" s="27"/>
    </row>
    <row r="138">
      <c r="K138" s="3"/>
      <c r="L138" s="27"/>
    </row>
    <row r="139">
      <c r="K139" s="3"/>
      <c r="L139" s="27"/>
    </row>
    <row r="140">
      <c r="K140" s="3"/>
      <c r="L140" s="27"/>
    </row>
    <row r="141">
      <c r="K141" s="3"/>
      <c r="L141" s="27"/>
    </row>
    <row r="142">
      <c r="K142" s="3"/>
      <c r="L142" s="27"/>
    </row>
    <row r="143">
      <c r="K143" s="3"/>
      <c r="L143" s="27"/>
    </row>
    <row r="144">
      <c r="K144" s="3"/>
      <c r="L144" s="27"/>
    </row>
    <row r="145">
      <c r="K145" s="3"/>
      <c r="L145" s="27"/>
    </row>
    <row r="146">
      <c r="K146" s="3"/>
      <c r="L146" s="27"/>
    </row>
    <row r="147">
      <c r="K147" s="3"/>
      <c r="L147" s="27"/>
    </row>
    <row r="148">
      <c r="K148" s="3"/>
      <c r="L148" s="27"/>
    </row>
    <row r="149">
      <c r="K149" s="3"/>
      <c r="L149" s="27"/>
    </row>
    <row r="150">
      <c r="K150" s="3"/>
      <c r="L150" s="27"/>
    </row>
    <row r="151">
      <c r="K151" s="3"/>
      <c r="L151" s="27"/>
    </row>
    <row r="152">
      <c r="K152" s="3"/>
      <c r="L152" s="27"/>
    </row>
    <row r="153">
      <c r="K153" s="3"/>
      <c r="L153" s="27"/>
    </row>
    <row r="154">
      <c r="K154" s="3"/>
      <c r="L154" s="27"/>
    </row>
    <row r="155">
      <c r="K155" s="3"/>
      <c r="L155" s="27"/>
    </row>
    <row r="156">
      <c r="K156" s="3"/>
      <c r="L156" s="27"/>
    </row>
    <row r="157">
      <c r="K157" s="3"/>
      <c r="L157" s="27"/>
    </row>
    <row r="158">
      <c r="K158" s="3"/>
      <c r="L158" s="27"/>
    </row>
    <row r="159">
      <c r="K159" s="3"/>
      <c r="L159" s="27"/>
    </row>
    <row r="160">
      <c r="K160" s="3"/>
      <c r="L160" s="27"/>
    </row>
    <row r="161">
      <c r="K161" s="3"/>
      <c r="L161" s="27"/>
    </row>
    <row r="162">
      <c r="K162" s="3"/>
      <c r="L162" s="27"/>
    </row>
    <row r="163">
      <c r="K163" s="3"/>
      <c r="L163" s="27"/>
    </row>
    <row r="164">
      <c r="K164" s="3"/>
      <c r="L164" s="27"/>
    </row>
    <row r="165">
      <c r="K165" s="3"/>
      <c r="L165" s="27"/>
    </row>
    <row r="166">
      <c r="K166" s="3"/>
      <c r="L166" s="27"/>
    </row>
    <row r="167">
      <c r="K167" s="3"/>
      <c r="L167" s="27"/>
    </row>
    <row r="168">
      <c r="K168" s="3"/>
      <c r="L168" s="27"/>
    </row>
    <row r="169">
      <c r="K169" s="3"/>
      <c r="L169" s="27"/>
    </row>
    <row r="170">
      <c r="K170" s="3"/>
      <c r="L170" s="27"/>
    </row>
    <row r="171">
      <c r="K171" s="3"/>
      <c r="L171" s="27"/>
    </row>
    <row r="172">
      <c r="K172" s="3"/>
      <c r="L172" s="27"/>
    </row>
    <row r="173">
      <c r="K173" s="3"/>
      <c r="L173" s="27"/>
    </row>
    <row r="174">
      <c r="K174" s="3"/>
      <c r="L174" s="27"/>
    </row>
    <row r="175">
      <c r="K175" s="3"/>
      <c r="L175" s="27"/>
    </row>
    <row r="176">
      <c r="K176" s="3"/>
      <c r="L176" s="27"/>
    </row>
    <row r="177">
      <c r="K177" s="3"/>
      <c r="L177" s="27"/>
    </row>
    <row r="178">
      <c r="K178" s="3"/>
      <c r="L178" s="27"/>
    </row>
    <row r="179">
      <c r="K179" s="3"/>
      <c r="L179" s="27"/>
    </row>
    <row r="180">
      <c r="K180" s="3"/>
      <c r="L180" s="27"/>
    </row>
    <row r="181">
      <c r="K181" s="3"/>
      <c r="L181" s="27"/>
    </row>
    <row r="182">
      <c r="K182" s="3"/>
      <c r="L182" s="27"/>
    </row>
    <row r="183">
      <c r="K183" s="3"/>
      <c r="L183" s="27"/>
    </row>
    <row r="184">
      <c r="K184" s="3"/>
      <c r="L184" s="27"/>
    </row>
    <row r="185">
      <c r="K185" s="3"/>
      <c r="L185" s="27"/>
    </row>
    <row r="186">
      <c r="K186" s="3"/>
      <c r="L186" s="27"/>
    </row>
    <row r="187">
      <c r="K187" s="3"/>
      <c r="L187" s="27"/>
    </row>
    <row r="188">
      <c r="K188" s="3"/>
      <c r="L188" s="27"/>
    </row>
    <row r="189">
      <c r="K189" s="3"/>
      <c r="L189" s="27"/>
    </row>
    <row r="190">
      <c r="K190" s="3"/>
      <c r="L190" s="27"/>
    </row>
    <row r="191">
      <c r="K191" s="3"/>
      <c r="L191" s="27"/>
    </row>
    <row r="192">
      <c r="K192" s="3"/>
      <c r="L192" s="27"/>
    </row>
    <row r="193">
      <c r="K193" s="3"/>
      <c r="L193" s="27"/>
    </row>
    <row r="194">
      <c r="K194" s="3"/>
      <c r="L194" s="27"/>
    </row>
    <row r="195">
      <c r="K195" s="3"/>
      <c r="L195" s="27"/>
    </row>
    <row r="196">
      <c r="K196" s="3"/>
      <c r="L196" s="27"/>
    </row>
    <row r="197">
      <c r="K197" s="3"/>
      <c r="L197" s="27"/>
    </row>
    <row r="198">
      <c r="K198" s="3"/>
      <c r="L198" s="27"/>
    </row>
    <row r="199">
      <c r="K199" s="3"/>
      <c r="L199" s="27"/>
    </row>
    <row r="200">
      <c r="K200" s="3"/>
      <c r="L200" s="27"/>
    </row>
    <row r="201">
      <c r="K201" s="3"/>
      <c r="L201" s="27"/>
    </row>
    <row r="202">
      <c r="K202" s="3"/>
      <c r="L202" s="27"/>
    </row>
    <row r="203">
      <c r="K203" s="3"/>
      <c r="L203" s="27"/>
    </row>
    <row r="204">
      <c r="K204" s="3"/>
      <c r="L204" s="27"/>
    </row>
    <row r="205">
      <c r="K205" s="3"/>
      <c r="L205" s="27"/>
    </row>
    <row r="206">
      <c r="K206" s="3"/>
      <c r="L206" s="27"/>
    </row>
    <row r="207">
      <c r="K207" s="3"/>
      <c r="L207" s="27"/>
    </row>
    <row r="208">
      <c r="K208" s="3"/>
      <c r="L208" s="27"/>
    </row>
    <row r="209">
      <c r="K209" s="3"/>
      <c r="L209" s="27"/>
    </row>
    <row r="210">
      <c r="K210" s="3"/>
      <c r="L210" s="27"/>
    </row>
    <row r="211">
      <c r="K211" s="3"/>
      <c r="L211" s="27"/>
    </row>
    <row r="212">
      <c r="K212" s="3"/>
      <c r="L212" s="27"/>
    </row>
    <row r="213">
      <c r="K213" s="3"/>
      <c r="L213" s="27"/>
    </row>
    <row r="214">
      <c r="K214" s="3"/>
      <c r="L214" s="27"/>
    </row>
    <row r="215">
      <c r="K215" s="3"/>
      <c r="L215" s="27"/>
    </row>
    <row r="216">
      <c r="K216" s="3"/>
      <c r="L216" s="27"/>
    </row>
    <row r="217"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A639" s="27"/>
      <c r="C639" s="22"/>
      <c r="K639" s="3"/>
      <c r="L639" s="27"/>
    </row>
    <row r="640">
      <c r="A640" s="27"/>
      <c r="C640" s="22"/>
      <c r="K640" s="3"/>
      <c r="L640" s="27"/>
    </row>
    <row r="641">
      <c r="A641" s="27"/>
      <c r="C641" s="22"/>
      <c r="K641" s="3"/>
      <c r="L641" s="27"/>
    </row>
    <row r="642">
      <c r="A642" s="27"/>
      <c r="C642" s="22"/>
      <c r="K642" s="3"/>
      <c r="L642" s="27"/>
    </row>
    <row r="643">
      <c r="A643" s="27"/>
      <c r="C643" s="22"/>
      <c r="K643" s="3"/>
      <c r="L643" s="27"/>
    </row>
    <row r="644">
      <c r="A644" s="27"/>
      <c r="C644" s="22"/>
      <c r="K644" s="3"/>
      <c r="L644" s="27"/>
    </row>
    <row r="645">
      <c r="A645" s="27"/>
      <c r="C645" s="22"/>
      <c r="K645" s="3"/>
      <c r="L645" s="27"/>
    </row>
    <row r="646">
      <c r="A646" s="27"/>
      <c r="C646" s="22"/>
      <c r="K646" s="3"/>
      <c r="L646" s="27"/>
    </row>
    <row r="647">
      <c r="A647" s="27"/>
      <c r="C647" s="22"/>
      <c r="K647" s="3"/>
      <c r="L647" s="27"/>
    </row>
    <row r="648">
      <c r="A648" s="27"/>
      <c r="C648" s="22"/>
      <c r="K648" s="3"/>
      <c r="L648" s="27"/>
    </row>
    <row r="649">
      <c r="A649" s="27"/>
      <c r="C649" s="22"/>
      <c r="K649" s="3"/>
      <c r="L649" s="27"/>
    </row>
    <row r="650">
      <c r="A650" s="27"/>
      <c r="C650" s="22"/>
      <c r="K650" s="3"/>
      <c r="L650" s="27"/>
    </row>
    <row r="651">
      <c r="A651" s="27"/>
      <c r="C651" s="22"/>
      <c r="K651" s="3"/>
      <c r="L651" s="27"/>
    </row>
    <row r="652">
      <c r="A652" s="27"/>
      <c r="C652" s="22"/>
      <c r="K652" s="3"/>
      <c r="L652" s="27"/>
    </row>
    <row r="653">
      <c r="A653" s="27"/>
      <c r="C653" s="22"/>
      <c r="K653" s="3"/>
      <c r="L653" s="27"/>
    </row>
    <row r="654">
      <c r="A654" s="27"/>
      <c r="C654" s="22"/>
      <c r="K654" s="3"/>
      <c r="L654" s="27"/>
    </row>
    <row r="655">
      <c r="A655" s="27"/>
      <c r="C655" s="22"/>
      <c r="K655" s="3"/>
      <c r="L655" s="27"/>
    </row>
    <row r="656">
      <c r="A656" s="27"/>
      <c r="C656" s="22"/>
      <c r="K656" s="3"/>
      <c r="L656" s="27"/>
    </row>
    <row r="657">
      <c r="A657" s="27"/>
      <c r="C657" s="22"/>
      <c r="K657" s="3"/>
      <c r="L657" s="27"/>
    </row>
    <row r="658">
      <c r="A658" s="27"/>
      <c r="C658" s="22"/>
      <c r="K658" s="3"/>
      <c r="L658" s="27"/>
    </row>
    <row r="659">
      <c r="A659" s="27"/>
      <c r="C659" s="22"/>
      <c r="K659" s="3"/>
      <c r="L659" s="27"/>
    </row>
    <row r="660">
      <c r="A660" s="27"/>
      <c r="C660" s="22"/>
      <c r="K660" s="3"/>
      <c r="L660" s="27"/>
    </row>
    <row r="661">
      <c r="A661" s="27"/>
      <c r="C661" s="22"/>
      <c r="K661" s="3"/>
      <c r="L661" s="27"/>
    </row>
    <row r="662">
      <c r="A662" s="27"/>
      <c r="C662" s="22"/>
      <c r="K662" s="3"/>
      <c r="L662" s="27"/>
    </row>
    <row r="663">
      <c r="A663" s="27"/>
      <c r="C663" s="22"/>
      <c r="K663" s="3"/>
      <c r="L663" s="27"/>
    </row>
    <row r="664">
      <c r="A664" s="27"/>
      <c r="C664" s="22"/>
      <c r="K664" s="3"/>
      <c r="L664" s="27"/>
    </row>
    <row r="665">
      <c r="A665" s="27"/>
      <c r="C665" s="22"/>
      <c r="K665" s="3"/>
      <c r="L665" s="27"/>
    </row>
    <row r="666">
      <c r="A666" s="27"/>
      <c r="C666" s="22"/>
      <c r="K666" s="3"/>
      <c r="L666" s="27"/>
    </row>
    <row r="667">
      <c r="A667" s="27"/>
      <c r="C667" s="22"/>
      <c r="K667" s="3"/>
      <c r="L667" s="27"/>
    </row>
    <row r="668">
      <c r="A668" s="27"/>
      <c r="C668" s="22"/>
      <c r="K668" s="3"/>
      <c r="L668" s="27"/>
    </row>
    <row r="669">
      <c r="A669" s="27"/>
      <c r="C669" s="22"/>
      <c r="K669" s="3"/>
      <c r="L669" s="27"/>
    </row>
    <row r="670">
      <c r="A670" s="27"/>
      <c r="C670" s="22"/>
      <c r="K670" s="3"/>
      <c r="L670" s="27"/>
    </row>
    <row r="671">
      <c r="A671" s="27"/>
      <c r="C671" s="22"/>
      <c r="K671" s="3"/>
      <c r="L671" s="27"/>
    </row>
    <row r="672">
      <c r="A672" s="27"/>
      <c r="C672" s="22"/>
      <c r="K672" s="3"/>
      <c r="L672" s="27"/>
    </row>
    <row r="673">
      <c r="A673" s="27"/>
      <c r="C673" s="22"/>
      <c r="K673" s="3"/>
      <c r="L673" s="27"/>
    </row>
    <row r="674">
      <c r="A674" s="27"/>
      <c r="C674" s="22"/>
      <c r="K674" s="3"/>
      <c r="L674" s="27"/>
    </row>
    <row r="675">
      <c r="A675" s="27"/>
      <c r="C675" s="22"/>
      <c r="K675" s="3"/>
      <c r="L675" s="27"/>
    </row>
    <row r="676">
      <c r="A676" s="27"/>
      <c r="C676" s="22"/>
      <c r="K676" s="3"/>
      <c r="L676" s="27"/>
    </row>
    <row r="677">
      <c r="A677" s="27"/>
      <c r="C677" s="22"/>
      <c r="K677" s="3"/>
      <c r="L677" s="27"/>
    </row>
    <row r="678">
      <c r="A678" s="27"/>
      <c r="C678" s="22"/>
      <c r="K678" s="3"/>
      <c r="L678" s="27"/>
    </row>
    <row r="679">
      <c r="A679" s="27"/>
      <c r="C679" s="22"/>
      <c r="K679" s="3"/>
      <c r="L679" s="27"/>
    </row>
    <row r="680">
      <c r="A680" s="27"/>
      <c r="C680" s="22"/>
      <c r="K680" s="3"/>
      <c r="L680" s="27"/>
    </row>
    <row r="681">
      <c r="A681" s="27"/>
      <c r="C681" s="22"/>
      <c r="K681" s="3"/>
      <c r="L681" s="27"/>
    </row>
    <row r="682">
      <c r="A682" s="27"/>
      <c r="C682" s="22"/>
      <c r="K682" s="3"/>
      <c r="L682" s="27"/>
    </row>
    <row r="683">
      <c r="A683" s="27"/>
      <c r="C683" s="22"/>
      <c r="K683" s="3"/>
      <c r="L683" s="27"/>
    </row>
    <row r="684">
      <c r="A684" s="27"/>
      <c r="C684" s="22"/>
      <c r="K684" s="3"/>
      <c r="L684" s="27"/>
    </row>
    <row r="685">
      <c r="A685" s="27"/>
      <c r="C685" s="22"/>
      <c r="K685" s="3"/>
      <c r="L685" s="27"/>
    </row>
    <row r="686">
      <c r="A686" s="27"/>
      <c r="C686" s="22"/>
      <c r="K686" s="3"/>
      <c r="L686" s="27"/>
    </row>
    <row r="687">
      <c r="A687" s="27"/>
      <c r="C687" s="22"/>
      <c r="K687" s="3"/>
      <c r="L687" s="27"/>
    </row>
    <row r="688">
      <c r="A688" s="27"/>
      <c r="C688" s="22"/>
      <c r="K688" s="3"/>
      <c r="L688" s="27"/>
    </row>
    <row r="689">
      <c r="A689" s="27"/>
      <c r="C689" s="22"/>
      <c r="K689" s="3"/>
      <c r="L689" s="27"/>
    </row>
    <row r="690">
      <c r="A690" s="27"/>
      <c r="C690" s="22"/>
      <c r="K690" s="3"/>
      <c r="L690" s="27"/>
    </row>
    <row r="691">
      <c r="A691" s="27"/>
      <c r="C691" s="22"/>
      <c r="K691" s="3"/>
      <c r="L691" s="27"/>
    </row>
    <row r="692">
      <c r="A692" s="27"/>
      <c r="C692" s="22"/>
      <c r="K692" s="3"/>
      <c r="L692" s="27"/>
    </row>
    <row r="693">
      <c r="A693" s="27"/>
      <c r="C693" s="22"/>
      <c r="K693" s="3"/>
      <c r="L693" s="27"/>
    </row>
    <row r="694">
      <c r="A694" s="27"/>
      <c r="C694" s="22"/>
      <c r="K694" s="3"/>
      <c r="L694" s="27"/>
    </row>
    <row r="695">
      <c r="A695" s="27"/>
      <c r="C695" s="22"/>
      <c r="K695" s="3"/>
      <c r="L695" s="27"/>
    </row>
    <row r="696">
      <c r="A696" s="27"/>
      <c r="C696" s="22"/>
      <c r="K696" s="3"/>
      <c r="L696" s="27"/>
    </row>
    <row r="697">
      <c r="A697" s="27"/>
      <c r="C697" s="22"/>
      <c r="K697" s="3"/>
      <c r="L697" s="27"/>
    </row>
    <row r="698">
      <c r="A698" s="27"/>
      <c r="C698" s="22"/>
      <c r="K698" s="3"/>
      <c r="L698" s="27"/>
    </row>
    <row r="699">
      <c r="A699" s="27"/>
      <c r="C699" s="22"/>
      <c r="K699" s="3"/>
      <c r="L699" s="27"/>
    </row>
    <row r="700">
      <c r="A700" s="27"/>
      <c r="C700" s="22"/>
      <c r="K700" s="3"/>
      <c r="L700" s="27"/>
    </row>
    <row r="701">
      <c r="A701" s="27"/>
      <c r="C701" s="22"/>
      <c r="K701" s="3"/>
      <c r="L701" s="27"/>
    </row>
    <row r="702">
      <c r="A702" s="27"/>
      <c r="C702" s="22"/>
      <c r="K702" s="3"/>
      <c r="L702" s="27"/>
    </row>
    <row r="703">
      <c r="A703" s="27"/>
      <c r="C703" s="22"/>
      <c r="K703" s="3"/>
      <c r="L703" s="27"/>
    </row>
    <row r="704">
      <c r="A704" s="27"/>
      <c r="C704" s="22"/>
      <c r="K704" s="3"/>
      <c r="L704" s="27"/>
    </row>
    <row r="705">
      <c r="A705" s="27"/>
      <c r="C705" s="22"/>
      <c r="K705" s="3"/>
      <c r="L705" s="27"/>
    </row>
    <row r="706">
      <c r="A706" s="27"/>
      <c r="C706" s="22"/>
      <c r="K706" s="3"/>
      <c r="L706" s="27"/>
    </row>
    <row r="707">
      <c r="A707" s="27"/>
      <c r="C707" s="22"/>
      <c r="K707" s="3"/>
      <c r="L707" s="27"/>
    </row>
    <row r="708">
      <c r="A708" s="27"/>
      <c r="C708" s="22"/>
      <c r="K708" s="3"/>
      <c r="L708" s="27"/>
    </row>
    <row r="709">
      <c r="A709" s="27"/>
      <c r="C709" s="22"/>
      <c r="K709" s="3"/>
      <c r="L709" s="27"/>
    </row>
    <row r="710">
      <c r="A710" s="27"/>
      <c r="C710" s="22"/>
      <c r="K710" s="3"/>
      <c r="L710" s="27"/>
    </row>
    <row r="711">
      <c r="A711" s="27"/>
      <c r="C711" s="22"/>
      <c r="K711" s="3"/>
      <c r="L711" s="27"/>
    </row>
    <row r="712">
      <c r="A712" s="27"/>
      <c r="C712" s="22"/>
      <c r="K712" s="3"/>
      <c r="L712" s="27"/>
    </row>
    <row r="713">
      <c r="A713" s="27"/>
      <c r="C713" s="22"/>
      <c r="K713" s="3"/>
      <c r="L713" s="27"/>
    </row>
    <row r="714">
      <c r="A714" s="27"/>
      <c r="C714" s="22"/>
      <c r="K714" s="3"/>
      <c r="L714" s="27"/>
    </row>
    <row r="715">
      <c r="A715" s="27"/>
      <c r="C715" s="22"/>
      <c r="K715" s="3"/>
      <c r="L715" s="27"/>
    </row>
    <row r="716">
      <c r="A716" s="27"/>
      <c r="C716" s="22"/>
      <c r="K716" s="3"/>
      <c r="L716" s="27"/>
    </row>
    <row r="717">
      <c r="A717" s="27"/>
      <c r="C717" s="22"/>
      <c r="K717" s="3"/>
      <c r="L717" s="27"/>
    </row>
    <row r="718">
      <c r="A718" s="27"/>
      <c r="C718" s="22"/>
      <c r="K718" s="3"/>
      <c r="L718" s="27"/>
    </row>
    <row r="719">
      <c r="A719" s="27"/>
      <c r="C719" s="22"/>
      <c r="K719" s="3"/>
      <c r="L719" s="27"/>
    </row>
    <row r="720">
      <c r="A720" s="27"/>
      <c r="C720" s="22"/>
      <c r="K720" s="3"/>
      <c r="L720" s="27"/>
    </row>
    <row r="721">
      <c r="A721" s="27"/>
      <c r="C721" s="22"/>
      <c r="K721" s="3"/>
      <c r="L721" s="27"/>
    </row>
    <row r="722">
      <c r="A722" s="27"/>
      <c r="C722" s="22"/>
      <c r="K722" s="3"/>
      <c r="L722" s="27"/>
    </row>
    <row r="723">
      <c r="A723" s="27"/>
      <c r="C723" s="22"/>
      <c r="K723" s="3"/>
      <c r="L723" s="27"/>
    </row>
    <row r="724">
      <c r="A724" s="27"/>
      <c r="C724" s="22"/>
      <c r="K724" s="3"/>
      <c r="L724" s="27"/>
    </row>
    <row r="725">
      <c r="A725" s="27"/>
      <c r="C725" s="22"/>
      <c r="K725" s="3"/>
      <c r="L725" s="27"/>
    </row>
    <row r="726">
      <c r="A726" s="27"/>
      <c r="C726" s="22"/>
      <c r="K726" s="3"/>
      <c r="L726" s="27"/>
    </row>
    <row r="727">
      <c r="A727" s="27"/>
      <c r="C727" s="22"/>
      <c r="K727" s="3"/>
      <c r="L727" s="27"/>
    </row>
    <row r="728">
      <c r="A728" s="27"/>
      <c r="C728" s="22"/>
      <c r="K728" s="3"/>
      <c r="L728" s="27"/>
    </row>
    <row r="729">
      <c r="A729" s="27"/>
      <c r="C729" s="22"/>
      <c r="K729" s="3"/>
      <c r="L729" s="27"/>
    </row>
    <row r="730">
      <c r="A730" s="27"/>
      <c r="C730" s="22"/>
      <c r="K730" s="3"/>
      <c r="L730" s="27"/>
    </row>
    <row r="731">
      <c r="A731" s="27"/>
      <c r="C731" s="22"/>
      <c r="K731" s="3"/>
      <c r="L731" s="27"/>
    </row>
    <row r="732">
      <c r="A732" s="27"/>
      <c r="C732" s="22"/>
      <c r="K732" s="3"/>
      <c r="L732" s="27"/>
    </row>
    <row r="733">
      <c r="A733" s="27"/>
      <c r="C733" s="22"/>
      <c r="K733" s="3"/>
      <c r="L733" s="27"/>
    </row>
    <row r="734">
      <c r="A734" s="27"/>
      <c r="C734" s="22"/>
      <c r="K734" s="3"/>
      <c r="L734" s="27"/>
    </row>
    <row r="735">
      <c r="A735" s="27"/>
      <c r="C735" s="22"/>
      <c r="K735" s="3"/>
      <c r="L735" s="27"/>
    </row>
    <row r="736">
      <c r="A736" s="27"/>
      <c r="C736" s="22"/>
      <c r="K736" s="3"/>
      <c r="L736" s="27"/>
    </row>
    <row r="737">
      <c r="A737" s="27"/>
      <c r="C737" s="22"/>
      <c r="K737" s="3"/>
      <c r="L737" s="27"/>
    </row>
    <row r="738">
      <c r="A738" s="27"/>
      <c r="C738" s="22"/>
      <c r="K738" s="3"/>
      <c r="L738" s="27"/>
    </row>
    <row r="739">
      <c r="A739" s="27"/>
      <c r="C739" s="22"/>
      <c r="K739" s="3"/>
      <c r="L739" s="27"/>
    </row>
    <row r="740">
      <c r="A740" s="27"/>
      <c r="C740" s="22"/>
      <c r="K740" s="3"/>
      <c r="L740" s="27"/>
    </row>
    <row r="741">
      <c r="A741" s="27"/>
      <c r="C741" s="22"/>
      <c r="K741" s="3"/>
      <c r="L741" s="27"/>
    </row>
    <row r="742">
      <c r="A742" s="27"/>
      <c r="C742" s="22"/>
      <c r="K742" s="3"/>
      <c r="L742" s="27"/>
    </row>
    <row r="743">
      <c r="A743" s="27"/>
      <c r="C743" s="22"/>
      <c r="K743" s="3"/>
      <c r="L743" s="27"/>
    </row>
    <row r="744">
      <c r="A744" s="27"/>
      <c r="C744" s="22"/>
      <c r="K744" s="3"/>
      <c r="L744" s="27"/>
    </row>
    <row r="745">
      <c r="A745" s="27"/>
      <c r="C745" s="22"/>
      <c r="K745" s="3"/>
      <c r="L745" s="27"/>
    </row>
    <row r="746">
      <c r="A746" s="27"/>
      <c r="C746" s="22"/>
      <c r="K746" s="3"/>
      <c r="L746" s="27"/>
    </row>
    <row r="747">
      <c r="A747" s="27"/>
      <c r="C747" s="22"/>
      <c r="K747" s="3"/>
      <c r="L747" s="27"/>
    </row>
    <row r="748">
      <c r="A748" s="27"/>
      <c r="C748" s="22"/>
      <c r="K748" s="3"/>
      <c r="L748" s="27"/>
    </row>
    <row r="749">
      <c r="A749" s="27"/>
      <c r="C749" s="22"/>
      <c r="K749" s="3"/>
      <c r="L749" s="27"/>
    </row>
    <row r="750">
      <c r="A750" s="27"/>
      <c r="C750" s="22"/>
      <c r="K750" s="3"/>
      <c r="L750" s="27"/>
    </row>
    <row r="751">
      <c r="A751" s="27"/>
      <c r="C751" s="22"/>
      <c r="K751" s="3"/>
      <c r="L751" s="27"/>
    </row>
    <row r="752">
      <c r="A752" s="27"/>
      <c r="C752" s="22"/>
      <c r="K752" s="3"/>
      <c r="L752" s="27"/>
    </row>
    <row r="753">
      <c r="A753" s="27"/>
      <c r="C753" s="22"/>
      <c r="K753" s="3"/>
      <c r="L753" s="27"/>
    </row>
    <row r="754">
      <c r="A754" s="27"/>
      <c r="C754" s="22"/>
      <c r="K754" s="3"/>
      <c r="L754" s="27"/>
    </row>
    <row r="755">
      <c r="A755" s="27"/>
      <c r="C755" s="22"/>
      <c r="K755" s="3"/>
      <c r="L755" s="27"/>
    </row>
    <row r="756">
      <c r="A756" s="27"/>
      <c r="C756" s="22"/>
      <c r="K756" s="3"/>
      <c r="L756" s="27"/>
    </row>
    <row r="757">
      <c r="A757" s="27"/>
      <c r="C757" s="22"/>
      <c r="K757" s="3"/>
      <c r="L757" s="27"/>
    </row>
    <row r="758">
      <c r="A758" s="27"/>
      <c r="C758" s="22"/>
      <c r="K758" s="3"/>
      <c r="L758" s="27"/>
    </row>
    <row r="759">
      <c r="A759" s="27"/>
      <c r="C759" s="22"/>
      <c r="K759" s="3"/>
      <c r="L759" s="27"/>
    </row>
    <row r="760">
      <c r="A760" s="27"/>
      <c r="C760" s="22"/>
      <c r="K760" s="3"/>
      <c r="L760" s="27"/>
    </row>
    <row r="761">
      <c r="A761" s="27"/>
      <c r="C761" s="22"/>
      <c r="K761" s="3"/>
      <c r="L761" s="27"/>
    </row>
    <row r="762">
      <c r="A762" s="27"/>
      <c r="C762" s="22"/>
      <c r="K762" s="3"/>
      <c r="L762" s="27"/>
    </row>
    <row r="763">
      <c r="A763" s="27"/>
      <c r="C763" s="22"/>
      <c r="K763" s="3"/>
      <c r="L763" s="27"/>
    </row>
    <row r="764">
      <c r="A764" s="27"/>
      <c r="C764" s="22"/>
      <c r="K764" s="3"/>
      <c r="L764" s="27"/>
    </row>
    <row r="765">
      <c r="A765" s="27"/>
      <c r="C765" s="22"/>
      <c r="K765" s="3"/>
      <c r="L765" s="27"/>
    </row>
    <row r="766">
      <c r="A766" s="27"/>
      <c r="C766" s="22"/>
      <c r="K766" s="3"/>
      <c r="L766" s="27"/>
    </row>
    <row r="767">
      <c r="A767" s="27"/>
      <c r="C767" s="22"/>
      <c r="K767" s="3"/>
      <c r="L767" s="27"/>
    </row>
    <row r="768">
      <c r="A768" s="27"/>
      <c r="C768" s="22"/>
      <c r="K768" s="3"/>
      <c r="L768" s="27"/>
    </row>
    <row r="769">
      <c r="A769" s="27"/>
      <c r="C769" s="22"/>
      <c r="K769" s="3"/>
      <c r="L769" s="27"/>
    </row>
    <row r="770">
      <c r="A770" s="27"/>
      <c r="C770" s="22"/>
      <c r="K770" s="3"/>
      <c r="L770" s="27"/>
    </row>
    <row r="771">
      <c r="A771" s="27"/>
      <c r="C771" s="22"/>
      <c r="K771" s="3"/>
      <c r="L771" s="27"/>
    </row>
    <row r="772">
      <c r="A772" s="27"/>
      <c r="C772" s="22"/>
      <c r="K772" s="3"/>
      <c r="L772" s="27"/>
    </row>
    <row r="773">
      <c r="A773" s="27"/>
      <c r="C773" s="22"/>
      <c r="K773" s="3"/>
      <c r="L773" s="27"/>
    </row>
    <row r="774">
      <c r="A774" s="27"/>
      <c r="C774" s="22"/>
      <c r="K774" s="3"/>
      <c r="L774" s="27"/>
    </row>
    <row r="775">
      <c r="A775" s="27"/>
      <c r="C775" s="22"/>
      <c r="K775" s="3"/>
      <c r="L775" s="27"/>
    </row>
    <row r="776">
      <c r="A776" s="27"/>
      <c r="C776" s="22"/>
      <c r="K776" s="3"/>
      <c r="L776" s="27"/>
    </row>
    <row r="777">
      <c r="A777" s="27"/>
      <c r="C777" s="22"/>
      <c r="K777" s="3"/>
      <c r="L777" s="27"/>
    </row>
    <row r="778">
      <c r="A778" s="27"/>
      <c r="C778" s="22"/>
      <c r="K778" s="3"/>
      <c r="L778" s="27"/>
    </row>
    <row r="779">
      <c r="A779" s="27"/>
      <c r="C779" s="22"/>
      <c r="K779" s="3"/>
      <c r="L779" s="27"/>
    </row>
    <row r="780">
      <c r="A780" s="27"/>
      <c r="C780" s="22"/>
      <c r="K780" s="3"/>
      <c r="L780" s="27"/>
    </row>
    <row r="781">
      <c r="A781" s="27"/>
      <c r="C781" s="22"/>
      <c r="K781" s="3"/>
      <c r="L781" s="27"/>
    </row>
    <row r="782">
      <c r="A782" s="27"/>
      <c r="C782" s="22"/>
      <c r="K782" s="3"/>
      <c r="L782" s="27"/>
    </row>
    <row r="783">
      <c r="A783" s="27"/>
      <c r="C783" s="22"/>
      <c r="K783" s="3"/>
      <c r="L783" s="27"/>
    </row>
    <row r="784">
      <c r="A784" s="27"/>
      <c r="C784" s="22"/>
      <c r="K784" s="3"/>
      <c r="L784" s="27"/>
    </row>
    <row r="785">
      <c r="A785" s="27"/>
      <c r="C785" s="22"/>
      <c r="K785" s="3"/>
      <c r="L785" s="27"/>
    </row>
    <row r="786">
      <c r="A786" s="27"/>
      <c r="C786" s="22"/>
      <c r="K786" s="3"/>
      <c r="L786" s="27"/>
    </row>
    <row r="787">
      <c r="A787" s="27"/>
      <c r="C787" s="22"/>
      <c r="K787" s="3"/>
      <c r="L787" s="27"/>
    </row>
    <row r="788">
      <c r="A788" s="27"/>
      <c r="C788" s="22"/>
      <c r="K788" s="3"/>
      <c r="L788" s="27"/>
    </row>
    <row r="789">
      <c r="A789" s="27"/>
      <c r="C789" s="22"/>
      <c r="K789" s="3"/>
      <c r="L789" s="27"/>
    </row>
    <row r="790">
      <c r="A790" s="27"/>
      <c r="C790" s="22"/>
      <c r="K790" s="3"/>
      <c r="L790" s="27"/>
    </row>
    <row r="791">
      <c r="A791" s="27"/>
      <c r="C791" s="22"/>
      <c r="K791" s="3"/>
      <c r="L791" s="27"/>
    </row>
    <row r="792">
      <c r="A792" s="27"/>
      <c r="C792" s="22"/>
      <c r="K792" s="3"/>
      <c r="L792" s="27"/>
    </row>
    <row r="793">
      <c r="A793" s="27"/>
      <c r="C793" s="22"/>
      <c r="K793" s="3"/>
      <c r="L793" s="27"/>
    </row>
    <row r="794">
      <c r="A794" s="27"/>
      <c r="C794" s="22"/>
      <c r="K794" s="3"/>
      <c r="L794" s="27"/>
    </row>
    <row r="795">
      <c r="A795" s="27"/>
      <c r="C795" s="22"/>
      <c r="K795" s="3"/>
      <c r="L795" s="27"/>
    </row>
    <row r="796">
      <c r="A796" s="27"/>
      <c r="C796" s="22"/>
      <c r="K796" s="3"/>
      <c r="L796" s="27"/>
    </row>
    <row r="797">
      <c r="A797" s="27"/>
      <c r="C797" s="22"/>
      <c r="K797" s="3"/>
      <c r="L797" s="27"/>
    </row>
    <row r="798">
      <c r="A798" s="27"/>
      <c r="C798" s="22"/>
      <c r="K798" s="3"/>
      <c r="L798" s="27"/>
    </row>
    <row r="799">
      <c r="A799" s="27"/>
      <c r="C799" s="22"/>
      <c r="K799" s="3"/>
      <c r="L799" s="27"/>
    </row>
    <row r="800">
      <c r="A800" s="27"/>
      <c r="C800" s="22"/>
      <c r="K800" s="3"/>
      <c r="L800" s="27"/>
    </row>
    <row r="801">
      <c r="A801" s="27"/>
      <c r="C801" s="22"/>
      <c r="K801" s="3"/>
      <c r="L801" s="27"/>
    </row>
    <row r="802">
      <c r="A802" s="27"/>
      <c r="C802" s="22"/>
      <c r="K802" s="3"/>
      <c r="L802" s="27"/>
    </row>
    <row r="803">
      <c r="A803" s="27"/>
      <c r="C803" s="22"/>
      <c r="K803" s="3"/>
      <c r="L803" s="27"/>
    </row>
    <row r="804">
      <c r="A804" s="27"/>
      <c r="C804" s="22"/>
      <c r="K804" s="3"/>
      <c r="L804" s="27"/>
    </row>
    <row r="805">
      <c r="A805" s="27"/>
      <c r="C805" s="22"/>
      <c r="K805" s="3"/>
      <c r="L805" s="27"/>
    </row>
    <row r="806">
      <c r="A806" s="27"/>
      <c r="C806" s="22"/>
      <c r="K806" s="3"/>
      <c r="L806" s="27"/>
    </row>
    <row r="807">
      <c r="A807" s="27"/>
      <c r="C807" s="22"/>
      <c r="K807" s="3"/>
      <c r="L807" s="27"/>
    </row>
    <row r="808">
      <c r="A808" s="27"/>
      <c r="C808" s="22"/>
      <c r="K808" s="3"/>
      <c r="L808" s="27"/>
    </row>
    <row r="809">
      <c r="A809" s="27"/>
      <c r="C809" s="22"/>
      <c r="K809" s="3"/>
      <c r="L809" s="27"/>
    </row>
    <row r="810">
      <c r="A810" s="27"/>
      <c r="C810" s="22"/>
      <c r="K810" s="3"/>
      <c r="L810" s="27"/>
    </row>
    <row r="811">
      <c r="A811" s="27"/>
      <c r="C811" s="22"/>
      <c r="K811" s="3"/>
      <c r="L811" s="27"/>
    </row>
    <row r="812">
      <c r="A812" s="27"/>
      <c r="C812" s="22"/>
      <c r="K812" s="3"/>
      <c r="L812" s="27"/>
    </row>
    <row r="813">
      <c r="A813" s="27"/>
      <c r="C813" s="22"/>
      <c r="K813" s="3"/>
      <c r="L813" s="27"/>
    </row>
    <row r="814">
      <c r="A814" s="27"/>
      <c r="C814" s="22"/>
      <c r="K814" s="3"/>
      <c r="L814" s="27"/>
    </row>
    <row r="815">
      <c r="A815" s="27"/>
      <c r="C815" s="22"/>
      <c r="K815" s="3"/>
      <c r="L815" s="27"/>
    </row>
    <row r="816">
      <c r="A816" s="27"/>
      <c r="C816" s="22"/>
      <c r="K816" s="3"/>
      <c r="L816" s="27"/>
    </row>
    <row r="817">
      <c r="A817" s="27"/>
      <c r="C817" s="22"/>
      <c r="K817" s="3"/>
      <c r="L817" s="27"/>
    </row>
    <row r="818">
      <c r="C818" s="22"/>
      <c r="K818" s="3"/>
      <c r="L818" s="27"/>
    </row>
    <row r="819">
      <c r="C819" s="22"/>
      <c r="K819" s="3"/>
      <c r="L819" s="27"/>
    </row>
    <row r="820">
      <c r="C820" s="22"/>
      <c r="K820" s="3"/>
      <c r="L820" s="27"/>
    </row>
    <row r="821">
      <c r="C821" s="22"/>
      <c r="K821" s="3"/>
      <c r="L821" s="27"/>
    </row>
    <row r="822">
      <c r="C822" s="22"/>
      <c r="K822" s="3"/>
      <c r="L822" s="27"/>
    </row>
    <row r="823">
      <c r="C823" s="22"/>
      <c r="K823" s="3"/>
      <c r="L823" s="27"/>
    </row>
    <row r="824">
      <c r="C824" s="22"/>
      <c r="K824" s="3"/>
      <c r="L824" s="27"/>
    </row>
    <row r="825">
      <c r="C825" s="22"/>
      <c r="K825" s="3"/>
      <c r="L825" s="27"/>
    </row>
    <row r="826">
      <c r="C826" s="22"/>
      <c r="K826" s="3"/>
      <c r="L826" s="27"/>
    </row>
    <row r="827">
      <c r="C827" s="22"/>
      <c r="K827" s="3"/>
      <c r="L827" s="27"/>
    </row>
    <row r="828">
      <c r="C828" s="22"/>
      <c r="K828" s="3"/>
      <c r="L828" s="27"/>
    </row>
    <row r="829">
      <c r="C829" s="22"/>
      <c r="K829" s="3"/>
      <c r="L829" s="27"/>
    </row>
    <row r="830">
      <c r="C830" s="22"/>
      <c r="K830" s="3"/>
      <c r="L830" s="27"/>
    </row>
    <row r="831">
      <c r="C831" s="22"/>
      <c r="K831" s="3"/>
      <c r="L831" s="27"/>
    </row>
    <row r="832">
      <c r="C832" s="22"/>
      <c r="K832" s="3"/>
      <c r="L832" s="27"/>
    </row>
    <row r="833">
      <c r="C833" s="22"/>
      <c r="K833" s="3"/>
      <c r="L833" s="27"/>
    </row>
    <row r="834">
      <c r="C834" s="22"/>
      <c r="K834" s="3"/>
      <c r="L834" s="27"/>
    </row>
    <row r="835">
      <c r="C835" s="22"/>
      <c r="K835" s="3"/>
      <c r="L835" s="27"/>
    </row>
    <row r="836">
      <c r="C836" s="22"/>
      <c r="K836" s="3"/>
      <c r="L836" s="27"/>
    </row>
    <row r="837">
      <c r="C837" s="22"/>
      <c r="K837" s="3"/>
      <c r="L837" s="27"/>
    </row>
    <row r="838">
      <c r="C838" s="22"/>
      <c r="K838" s="3"/>
      <c r="L838" s="27"/>
    </row>
    <row r="839">
      <c r="C839" s="22"/>
      <c r="K839" s="3"/>
      <c r="L839" s="27"/>
    </row>
    <row r="840">
      <c r="C840" s="22"/>
      <c r="K840" s="3"/>
      <c r="L840" s="27"/>
    </row>
    <row r="841">
      <c r="C841" s="22"/>
      <c r="K841" s="3"/>
      <c r="L841" s="27"/>
    </row>
    <row r="842">
      <c r="C842" s="22"/>
      <c r="K842" s="3"/>
      <c r="L842" s="27"/>
    </row>
    <row r="843">
      <c r="C843" s="22"/>
      <c r="K843" s="3"/>
      <c r="L843" s="27"/>
    </row>
    <row r="844">
      <c r="C844" s="22"/>
      <c r="K844" s="3"/>
      <c r="L844" s="27"/>
    </row>
    <row r="845">
      <c r="C845" s="22"/>
      <c r="K845" s="3"/>
      <c r="L845" s="27"/>
    </row>
    <row r="846">
      <c r="C846" s="22"/>
      <c r="K846" s="3"/>
      <c r="L846" s="27"/>
    </row>
    <row r="847">
      <c r="C847" s="22"/>
      <c r="K847" s="3"/>
      <c r="L847" s="27"/>
    </row>
    <row r="848">
      <c r="C848" s="22"/>
      <c r="K848" s="3"/>
      <c r="L848" s="27"/>
    </row>
    <row r="849">
      <c r="C849" s="22"/>
      <c r="K849" s="3"/>
      <c r="L849" s="27"/>
    </row>
    <row r="850">
      <c r="C850" s="22"/>
      <c r="K850" s="3"/>
      <c r="L850" s="27"/>
    </row>
    <row r="851">
      <c r="C851" s="22"/>
      <c r="K851" s="3"/>
      <c r="L851" s="27"/>
    </row>
    <row r="852">
      <c r="C852" s="22"/>
      <c r="K852" s="3"/>
      <c r="L852" s="27"/>
    </row>
    <row r="853">
      <c r="C853" s="22"/>
      <c r="K853" s="3"/>
      <c r="L853" s="27"/>
    </row>
    <row r="854">
      <c r="C854" s="22"/>
      <c r="K854" s="3"/>
      <c r="L854" s="27"/>
    </row>
    <row r="855">
      <c r="C855" s="22"/>
      <c r="K855" s="3"/>
      <c r="L855" s="27"/>
    </row>
    <row r="856">
      <c r="C856" s="22"/>
      <c r="K856" s="3"/>
      <c r="L856" s="27"/>
    </row>
    <row r="857">
      <c r="C857" s="22"/>
      <c r="K857" s="3"/>
      <c r="L857" s="27"/>
    </row>
    <row r="858">
      <c r="C858" s="22"/>
      <c r="K858" s="3"/>
      <c r="L858" s="27"/>
    </row>
    <row r="859">
      <c r="C859" s="22"/>
      <c r="K859" s="3"/>
      <c r="L859" s="27"/>
    </row>
    <row r="860">
      <c r="C860" s="22"/>
      <c r="K860" s="3"/>
      <c r="L860" s="27"/>
    </row>
    <row r="861">
      <c r="C861" s="22"/>
      <c r="K861" s="3"/>
      <c r="L861" s="27"/>
    </row>
    <row r="862">
      <c r="C862" s="22"/>
      <c r="K862" s="3"/>
      <c r="L862" s="27"/>
    </row>
    <row r="863">
      <c r="C863" s="22"/>
      <c r="K863" s="3"/>
      <c r="L863" s="27"/>
    </row>
    <row r="864">
      <c r="C864" s="22"/>
      <c r="K864" s="3"/>
      <c r="L864" s="27"/>
    </row>
    <row r="865">
      <c r="C865" s="22"/>
      <c r="K865" s="3"/>
      <c r="L865" s="27"/>
    </row>
    <row r="866">
      <c r="C866" s="22"/>
      <c r="K866" s="3"/>
      <c r="L866" s="27"/>
    </row>
    <row r="867">
      <c r="C867" s="22"/>
      <c r="K867" s="3"/>
      <c r="L867" s="27"/>
    </row>
    <row r="868">
      <c r="C868" s="22"/>
      <c r="K868" s="3"/>
      <c r="L868" s="27"/>
    </row>
    <row r="869">
      <c r="C869" s="22"/>
      <c r="K869" s="3"/>
      <c r="L869" s="27"/>
    </row>
    <row r="870">
      <c r="C870" s="22"/>
      <c r="K870" s="3"/>
      <c r="L870" s="27"/>
    </row>
    <row r="871">
      <c r="C871" s="22"/>
      <c r="K871" s="3"/>
      <c r="L871" s="27"/>
    </row>
    <row r="872">
      <c r="C872" s="22"/>
      <c r="K872" s="3"/>
      <c r="L872" s="27"/>
    </row>
    <row r="873">
      <c r="C873" s="22"/>
      <c r="K873" s="3"/>
      <c r="L873" s="27"/>
    </row>
    <row r="874">
      <c r="C874" s="22"/>
      <c r="K874" s="3"/>
      <c r="L874" s="27"/>
    </row>
    <row r="875">
      <c r="C875" s="22"/>
      <c r="K875" s="3"/>
      <c r="L875" s="27"/>
    </row>
    <row r="876">
      <c r="C876" s="22"/>
      <c r="K876" s="3"/>
      <c r="L876" s="27"/>
    </row>
    <row r="877">
      <c r="C877" s="22"/>
      <c r="K877" s="3"/>
      <c r="L877" s="27"/>
    </row>
    <row r="878">
      <c r="L878" s="27"/>
    </row>
    <row r="879">
      <c r="K879" s="3"/>
      <c r="L879" s="27"/>
    </row>
    <row r="880">
      <c r="K880" s="3"/>
      <c r="L880" s="27"/>
    </row>
    <row r="881">
      <c r="K881" s="3"/>
      <c r="L881" s="27"/>
    </row>
    <row r="882">
      <c r="L882" s="27"/>
    </row>
    <row r="883">
      <c r="L883" s="27"/>
    </row>
  </sheetData>
  <autoFilter ref="$A$1:$D$35">
    <sortState ref="A1:D35">
      <sortCondition descending="1" ref="C1:C35"/>
      <sortCondition ref="A1:A35"/>
    </sortState>
  </autoFilter>
  <mergeCells count="1">
    <mergeCell ref="J4:K4"/>
  </mergeCells>
  <conditionalFormatting sqref="L1:L9 L43:L883">
    <cfRule type="containsText" dxfId="0" priority="1" operator="containsText" text="Pago">
      <formula>NOT(ISERROR(SEARCH(("Pago"),(L1))))</formula>
    </cfRule>
  </conditionalFormatting>
  <conditionalFormatting sqref="L1:L9 L43:L883">
    <cfRule type="containsText" dxfId="1" priority="2" operator="containsText" text="Pendente">
      <formula>NOT(ISERROR(SEARCH(("Pendente"),(L1))))</formula>
    </cfRule>
  </conditionalFormatting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5" max="5" width="17.88"/>
    <col customWidth="1" min="6" max="6" width="57.0"/>
    <col customWidth="1" min="7" max="7" width="19.25"/>
    <col customWidth="1" min="8" max="8" width="48.88"/>
  </cols>
  <sheetData>
    <row r="1" ht="11.25" customHeight="1">
      <c r="A1" s="37"/>
      <c r="B1" s="37"/>
      <c r="C1" s="37"/>
      <c r="D1" s="37"/>
      <c r="E1" s="95"/>
      <c r="F1" s="37"/>
      <c r="G1" s="39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46049.0</v>
      </c>
      <c r="C3" s="5" t="s">
        <v>730</v>
      </c>
      <c r="D3" s="6">
        <v>6.9</v>
      </c>
      <c r="E3" s="106" t="s">
        <v>13</v>
      </c>
      <c r="F3" s="97" t="s">
        <v>849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46049.0</v>
      </c>
      <c r="C4" s="5" t="s">
        <v>712</v>
      </c>
      <c r="D4" s="6">
        <v>30.6</v>
      </c>
      <c r="E4" s="106" t="s">
        <v>13</v>
      </c>
      <c r="F4" s="97" t="s">
        <v>149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46049.0</v>
      </c>
      <c r="C5" s="5" t="s">
        <v>708</v>
      </c>
      <c r="D5" s="6">
        <v>32.39</v>
      </c>
      <c r="E5" s="106" t="s">
        <v>13</v>
      </c>
      <c r="F5" s="97" t="s">
        <v>425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46049.0</v>
      </c>
      <c r="C6" s="5" t="s">
        <v>678</v>
      </c>
      <c r="D6" s="6">
        <v>264.9</v>
      </c>
      <c r="E6" s="106" t="s">
        <v>13</v>
      </c>
      <c r="F6" s="71" t="s">
        <v>541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46049.0</v>
      </c>
      <c r="C7" s="107" t="s">
        <v>564</v>
      </c>
      <c r="D7" s="108">
        <v>479.3</v>
      </c>
      <c r="E7" s="106" t="s">
        <v>13</v>
      </c>
      <c r="F7" s="109" t="s">
        <v>850</v>
      </c>
      <c r="G7" s="39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46050.0</v>
      </c>
      <c r="C8" s="5" t="s">
        <v>629</v>
      </c>
      <c r="D8" s="6">
        <v>237.79</v>
      </c>
      <c r="E8" s="106" t="s">
        <v>13</v>
      </c>
      <c r="F8" s="97" t="s">
        <v>31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110">
        <v>46051.0</v>
      </c>
      <c r="C9" s="11" t="s">
        <v>851</v>
      </c>
      <c r="D9" s="111">
        <v>37.5</v>
      </c>
      <c r="E9" s="112" t="s">
        <v>616</v>
      </c>
      <c r="F9" s="113" t="s">
        <v>852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46052.0</v>
      </c>
      <c r="C10" s="5" t="s">
        <v>740</v>
      </c>
      <c r="D10" s="6">
        <v>45.0</v>
      </c>
      <c r="E10" s="106" t="s">
        <v>13</v>
      </c>
      <c r="F10" s="97" t="s">
        <v>853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46053.0</v>
      </c>
      <c r="C11" s="5" t="s">
        <v>746</v>
      </c>
      <c r="D11" s="6">
        <v>83.0</v>
      </c>
      <c r="E11" s="106" t="s">
        <v>13</v>
      </c>
      <c r="F11" s="71" t="s">
        <v>149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46054.0</v>
      </c>
      <c r="C12" s="5" t="s">
        <v>854</v>
      </c>
      <c r="D12" s="6">
        <v>44.87</v>
      </c>
      <c r="E12" s="106" t="s">
        <v>695</v>
      </c>
      <c r="F12" s="71" t="s">
        <v>149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46055.0</v>
      </c>
      <c r="C13" s="5" t="s">
        <v>747</v>
      </c>
      <c r="D13" s="6">
        <v>44.81</v>
      </c>
      <c r="E13" s="106" t="s">
        <v>13</v>
      </c>
      <c r="F13" s="71" t="s">
        <v>149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46055.0</v>
      </c>
      <c r="C14" s="5" t="s">
        <v>663</v>
      </c>
      <c r="D14" s="6">
        <v>12.0</v>
      </c>
      <c r="E14" s="106" t="s">
        <v>13</v>
      </c>
      <c r="F14" s="71" t="s">
        <v>855</v>
      </c>
      <c r="G14" s="39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46056.0</v>
      </c>
      <c r="C15" s="5" t="s">
        <v>712</v>
      </c>
      <c r="D15" s="6">
        <v>34.42</v>
      </c>
      <c r="E15" s="106" t="s">
        <v>13</v>
      </c>
      <c r="F15" s="71" t="s">
        <v>149</v>
      </c>
      <c r="G15" s="39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46057.0</v>
      </c>
      <c r="C16" s="5" t="s">
        <v>750</v>
      </c>
      <c r="D16" s="6">
        <v>76.9</v>
      </c>
      <c r="E16" s="106" t="s">
        <v>13</v>
      </c>
      <c r="F16" s="97" t="s">
        <v>245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46057.0</v>
      </c>
      <c r="C17" s="5" t="s">
        <v>749</v>
      </c>
      <c r="D17" s="6">
        <v>227.62</v>
      </c>
      <c r="E17" s="106" t="s">
        <v>13</v>
      </c>
      <c r="F17" s="97" t="s">
        <v>417</v>
      </c>
      <c r="G17" s="39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46058.0</v>
      </c>
      <c r="C18" s="5" t="s">
        <v>712</v>
      </c>
      <c r="D18" s="6">
        <v>59.93</v>
      </c>
      <c r="E18" s="106" t="s">
        <v>13</v>
      </c>
      <c r="F18" s="97" t="s">
        <v>149</v>
      </c>
      <c r="G18" s="39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46058.0</v>
      </c>
      <c r="C19" s="5" t="s">
        <v>752</v>
      </c>
      <c r="D19" s="6">
        <v>140.0</v>
      </c>
      <c r="E19" s="106" t="s">
        <v>13</v>
      </c>
      <c r="F19" s="97" t="s">
        <v>856</v>
      </c>
      <c r="G19" s="39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46060.0</v>
      </c>
      <c r="C20" s="5" t="s">
        <v>756</v>
      </c>
      <c r="D20" s="6">
        <v>79.9</v>
      </c>
      <c r="E20" s="106" t="s">
        <v>13</v>
      </c>
      <c r="F20" s="97" t="s">
        <v>245</v>
      </c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46061.0</v>
      </c>
      <c r="C21" s="5" t="s">
        <v>759</v>
      </c>
      <c r="D21" s="6">
        <v>37.99</v>
      </c>
      <c r="E21" s="106" t="s">
        <v>13</v>
      </c>
      <c r="F21" s="97" t="s">
        <v>857</v>
      </c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46061.0</v>
      </c>
      <c r="C22" s="5" t="s">
        <v>759</v>
      </c>
      <c r="D22" s="6">
        <v>20.96</v>
      </c>
      <c r="E22" s="106" t="s">
        <v>13</v>
      </c>
      <c r="F22" s="97" t="s">
        <v>857</v>
      </c>
      <c r="G22" s="39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46062.0</v>
      </c>
      <c r="C23" s="5" t="s">
        <v>762</v>
      </c>
      <c r="D23" s="6">
        <v>30.31</v>
      </c>
      <c r="E23" s="106" t="s">
        <v>13</v>
      </c>
      <c r="F23" s="97" t="s">
        <v>31</v>
      </c>
      <c r="G23" s="39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46063.0</v>
      </c>
      <c r="C24" s="5" t="s">
        <v>523</v>
      </c>
      <c r="D24" s="6">
        <v>185.0</v>
      </c>
      <c r="E24" s="106" t="s">
        <v>13</v>
      </c>
      <c r="F24" s="97" t="s">
        <v>858</v>
      </c>
      <c r="G24" s="39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46064.0</v>
      </c>
      <c r="C25" s="5" t="s">
        <v>644</v>
      </c>
      <c r="D25" s="6">
        <v>99.99</v>
      </c>
      <c r="E25" s="106" t="s">
        <v>13</v>
      </c>
      <c r="F25" s="97" t="s">
        <v>668</v>
      </c>
      <c r="G25" s="39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46065.0</v>
      </c>
      <c r="C26" s="5" t="s">
        <v>766</v>
      </c>
      <c r="D26" s="6">
        <v>95.0</v>
      </c>
      <c r="E26" s="106" t="s">
        <v>13</v>
      </c>
      <c r="F26" s="97" t="s">
        <v>859</v>
      </c>
      <c r="G26" s="39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46068.0</v>
      </c>
      <c r="C27" s="5" t="s">
        <v>860</v>
      </c>
      <c r="D27" s="6">
        <v>30.0</v>
      </c>
      <c r="E27" s="106" t="s">
        <v>695</v>
      </c>
      <c r="F27" s="97" t="s">
        <v>149</v>
      </c>
      <c r="G27" s="39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46068.0</v>
      </c>
      <c r="C28" s="5" t="s">
        <v>767</v>
      </c>
      <c r="D28" s="6">
        <v>35.0</v>
      </c>
      <c r="E28" s="106" t="s">
        <v>13</v>
      </c>
      <c r="F28" s="97" t="s">
        <v>861</v>
      </c>
      <c r="G28" s="39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110">
        <v>46069.0</v>
      </c>
      <c r="C29" s="11" t="s">
        <v>780</v>
      </c>
      <c r="D29" s="111">
        <v>21.97</v>
      </c>
      <c r="E29" s="112" t="s">
        <v>616</v>
      </c>
      <c r="F29" s="113" t="s">
        <v>862</v>
      </c>
      <c r="G29" s="39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8"/>
      <c r="C30" s="37"/>
      <c r="D30" s="37"/>
      <c r="E30" s="100"/>
      <c r="F30" s="37"/>
      <c r="G30" s="39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8"/>
      <c r="C31" s="78" t="s">
        <v>6</v>
      </c>
      <c r="D31" s="79">
        <f>SUM(D2:D29)</f>
        <v>2494.05</v>
      </c>
      <c r="E31" s="100"/>
      <c r="F31" s="37"/>
      <c r="G31" s="39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8"/>
      <c r="C32" s="38"/>
      <c r="D32" s="38"/>
      <c r="E32" s="100"/>
      <c r="F32" s="37"/>
      <c r="G32" s="39"/>
      <c r="H32" s="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44">
        <v>45927.0</v>
      </c>
      <c r="C33" s="96" t="s">
        <v>705</v>
      </c>
      <c r="D33" s="96">
        <v>117.01</v>
      </c>
      <c r="E33" s="97" t="s">
        <v>320</v>
      </c>
      <c r="F33" s="37"/>
      <c r="G33" s="39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50" t="s">
        <v>6</v>
      </c>
      <c r="D34" s="51">
        <f>SUM(D33)</f>
        <v>117.01</v>
      </c>
      <c r="E34" s="95"/>
      <c r="F34" s="37"/>
      <c r="G34" s="39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95"/>
      <c r="F35" s="37"/>
      <c r="G35" s="39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82" t="s">
        <v>430</v>
      </c>
      <c r="D36" s="83">
        <f>D31+D34</f>
        <v>2611.06</v>
      </c>
      <c r="E36" s="95"/>
      <c r="F36" s="37"/>
      <c r="G36" s="38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E37" s="27"/>
      <c r="F37" s="37"/>
      <c r="G37" s="38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E38" s="27"/>
      <c r="F38" s="37"/>
      <c r="G38" s="38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E39" s="94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95"/>
      <c r="F40" s="37"/>
      <c r="G40" s="38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95"/>
      <c r="F41" s="37"/>
      <c r="G41" s="38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95"/>
      <c r="F42" s="37"/>
      <c r="G42" s="38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95"/>
      <c r="F43" s="37"/>
      <c r="G43" s="38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95"/>
      <c r="F44" s="114" t="s">
        <v>863</v>
      </c>
      <c r="G44" s="38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4">
        <v>46074.0</v>
      </c>
      <c r="C45" s="5" t="s">
        <v>224</v>
      </c>
      <c r="D45" s="6">
        <v>35.53</v>
      </c>
      <c r="E45" s="71" t="s">
        <v>13</v>
      </c>
      <c r="F45" s="6">
        <f t="shared" ref="F45:F48" si="1">D45</f>
        <v>35.53</v>
      </c>
      <c r="G45" s="38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4">
        <v>46075.0</v>
      </c>
      <c r="C46" s="5" t="s">
        <v>776</v>
      </c>
      <c r="D46" s="6">
        <v>66.49</v>
      </c>
      <c r="E46" s="71" t="s">
        <v>777</v>
      </c>
      <c r="F46" s="6">
        <f t="shared" si="1"/>
        <v>66.49</v>
      </c>
      <c r="G46" s="38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4">
        <v>46074.0</v>
      </c>
      <c r="C47" s="5" t="s">
        <v>244</v>
      </c>
      <c r="D47" s="6">
        <v>11.0</v>
      </c>
      <c r="E47" s="71" t="s">
        <v>777</v>
      </c>
      <c r="F47" s="6">
        <f t="shared" si="1"/>
        <v>11</v>
      </c>
      <c r="G47" s="38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4">
        <v>46074.0</v>
      </c>
      <c r="C48" s="5" t="s">
        <v>792</v>
      </c>
      <c r="D48" s="6">
        <v>13.0</v>
      </c>
      <c r="E48" s="71" t="s">
        <v>777</v>
      </c>
      <c r="F48" s="6">
        <f t="shared" si="1"/>
        <v>13</v>
      </c>
      <c r="G48" s="38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4">
        <v>46075.0</v>
      </c>
      <c r="C49" s="5" t="s">
        <v>864</v>
      </c>
      <c r="D49" s="6">
        <v>49.0</v>
      </c>
      <c r="E49" s="71" t="s">
        <v>803</v>
      </c>
      <c r="F49" s="6">
        <f t="shared" ref="F49:F56" si="2">D49/2</f>
        <v>24.5</v>
      </c>
      <c r="G49" s="38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4">
        <v>46075.0</v>
      </c>
      <c r="C50" s="5" t="s">
        <v>864</v>
      </c>
      <c r="D50" s="6">
        <v>100.0</v>
      </c>
      <c r="E50" s="71" t="s">
        <v>803</v>
      </c>
      <c r="F50" s="6">
        <f t="shared" si="2"/>
        <v>50</v>
      </c>
      <c r="G50" s="38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4">
        <v>46075.0</v>
      </c>
      <c r="C51" s="5" t="s">
        <v>865</v>
      </c>
      <c r="D51" s="6">
        <v>68.0</v>
      </c>
      <c r="E51" s="71" t="s">
        <v>803</v>
      </c>
      <c r="F51" s="6">
        <f t="shared" si="2"/>
        <v>34</v>
      </c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4">
        <v>46075.0</v>
      </c>
      <c r="C52" s="5" t="s">
        <v>866</v>
      </c>
      <c r="D52" s="6">
        <v>21.98</v>
      </c>
      <c r="E52" s="71" t="s">
        <v>803</v>
      </c>
      <c r="F52" s="6">
        <f t="shared" si="2"/>
        <v>10.99</v>
      </c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4">
        <v>46075.0</v>
      </c>
      <c r="C53" s="5" t="s">
        <v>864</v>
      </c>
      <c r="D53" s="6">
        <v>24.0</v>
      </c>
      <c r="E53" s="71" t="s">
        <v>803</v>
      </c>
      <c r="F53" s="6">
        <f t="shared" si="2"/>
        <v>12</v>
      </c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4">
        <v>46075.0</v>
      </c>
      <c r="C54" s="5" t="s">
        <v>867</v>
      </c>
      <c r="D54" s="6">
        <v>12.0</v>
      </c>
      <c r="E54" s="71" t="s">
        <v>803</v>
      </c>
      <c r="F54" s="6">
        <f t="shared" si="2"/>
        <v>6</v>
      </c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4">
        <v>46074.0</v>
      </c>
      <c r="C55" s="115" t="s">
        <v>826</v>
      </c>
      <c r="D55" s="116">
        <v>113.88</v>
      </c>
      <c r="E55" s="71" t="s">
        <v>868</v>
      </c>
      <c r="F55" s="6">
        <f t="shared" si="2"/>
        <v>56.94</v>
      </c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4">
        <v>46075.0</v>
      </c>
      <c r="C56" s="115" t="s">
        <v>815</v>
      </c>
      <c r="D56" s="116">
        <v>227.0</v>
      </c>
      <c r="E56" s="71" t="s">
        <v>868</v>
      </c>
      <c r="F56" s="6">
        <f t="shared" si="2"/>
        <v>113.5</v>
      </c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114" t="s">
        <v>6</v>
      </c>
      <c r="F57" s="111">
        <f>SUM(F45:F56)</f>
        <v>433.95</v>
      </c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95"/>
      <c r="F58" s="37"/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95"/>
      <c r="F59" s="37"/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95"/>
      <c r="F60" s="37"/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95"/>
      <c r="F61" s="37"/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95"/>
      <c r="F62" s="37"/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95"/>
      <c r="F63" s="37"/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95"/>
      <c r="F64" s="37"/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95"/>
      <c r="F65" s="37"/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95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95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95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95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95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95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95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95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95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95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95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95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95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95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95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95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95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95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95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95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95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95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95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95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95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95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95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95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95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95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95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95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95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95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95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</sheetData>
  <autoFilter ref="$B$2:$F$29">
    <sortState ref="B2:F29">
      <sortCondition ref="B2:B29"/>
      <sortCondition descending="1" ref="E2:E29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88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46077.0</v>
      </c>
      <c r="B2" s="5" t="s">
        <v>869</v>
      </c>
      <c r="C2" s="6">
        <v>285.14</v>
      </c>
      <c r="D2" s="5" t="s">
        <v>12</v>
      </c>
      <c r="F2" s="28" t="s">
        <v>145</v>
      </c>
      <c r="G2" s="29">
        <f>SUM(C:C)</f>
        <v>13696.61</v>
      </c>
      <c r="J2" s="60" t="s">
        <v>324</v>
      </c>
      <c r="L2" s="27"/>
    </row>
    <row r="3">
      <c r="A3" s="4">
        <v>46077.0</v>
      </c>
      <c r="B3" s="5" t="s">
        <v>870</v>
      </c>
      <c r="C3" s="6">
        <v>264.9</v>
      </c>
      <c r="D3" s="5" t="s">
        <v>13</v>
      </c>
      <c r="J3" s="5" t="s">
        <v>24</v>
      </c>
      <c r="K3" s="8">
        <v>77.1</v>
      </c>
      <c r="L3" s="27"/>
    </row>
    <row r="4">
      <c r="A4" s="4">
        <v>46077.0</v>
      </c>
      <c r="B4" s="5" t="s">
        <v>871</v>
      </c>
      <c r="C4" s="6">
        <v>247.5</v>
      </c>
      <c r="D4" s="5" t="s">
        <v>16</v>
      </c>
      <c r="J4" s="5" t="s">
        <v>28</v>
      </c>
      <c r="K4" s="8">
        <v>4879.18</v>
      </c>
      <c r="L4" s="27"/>
    </row>
    <row r="5">
      <c r="A5" s="4">
        <v>46077.0</v>
      </c>
      <c r="B5" s="5" t="s">
        <v>872</v>
      </c>
      <c r="C5" s="6">
        <v>243.67</v>
      </c>
      <c r="D5" s="5" t="s">
        <v>12</v>
      </c>
      <c r="J5" s="5" t="s">
        <v>7</v>
      </c>
      <c r="K5" s="8"/>
      <c r="L5" s="27"/>
    </row>
    <row r="6">
      <c r="A6" s="4">
        <v>46077.0</v>
      </c>
      <c r="B6" s="5" t="s">
        <v>873</v>
      </c>
      <c r="C6" s="6">
        <v>222.08</v>
      </c>
      <c r="D6" s="5" t="s">
        <v>35</v>
      </c>
      <c r="J6" s="5" t="s">
        <v>328</v>
      </c>
      <c r="K6" s="8"/>
      <c r="L6" s="27"/>
    </row>
    <row r="7">
      <c r="A7" s="4">
        <v>46077.0</v>
      </c>
      <c r="B7" s="5" t="s">
        <v>875</v>
      </c>
      <c r="C7" s="6">
        <v>142.49</v>
      </c>
      <c r="D7" s="5" t="s">
        <v>683</v>
      </c>
      <c r="J7" s="5" t="s">
        <v>330</v>
      </c>
      <c r="K7" s="8">
        <v>5145.41</v>
      </c>
      <c r="L7" s="27"/>
    </row>
    <row r="8">
      <c r="A8" s="4">
        <v>46077.0</v>
      </c>
      <c r="B8" s="5" t="s">
        <v>876</v>
      </c>
      <c r="C8" s="6">
        <v>123.14</v>
      </c>
      <c r="D8" s="5" t="s">
        <v>550</v>
      </c>
      <c r="J8" s="5" t="s">
        <v>877</v>
      </c>
      <c r="K8" s="8">
        <v>4057.04</v>
      </c>
      <c r="L8" s="27"/>
    </row>
    <row r="9">
      <c r="A9" s="4">
        <v>46077.0</v>
      </c>
      <c r="B9" s="5" t="s">
        <v>878</v>
      </c>
      <c r="C9" s="6">
        <v>111.18</v>
      </c>
      <c r="D9" s="5" t="s">
        <v>550</v>
      </c>
      <c r="J9" s="61" t="s">
        <v>179</v>
      </c>
      <c r="K9" s="62">
        <f>sum(K3:K8)</f>
        <v>14158.73</v>
      </c>
      <c r="L9" s="27"/>
    </row>
    <row r="10">
      <c r="A10" s="4">
        <v>46077.0</v>
      </c>
      <c r="B10" s="5" t="s">
        <v>879</v>
      </c>
      <c r="C10" s="6">
        <v>111.04</v>
      </c>
      <c r="D10" s="5" t="s">
        <v>550</v>
      </c>
      <c r="L10" s="27"/>
    </row>
    <row r="11">
      <c r="A11" s="4">
        <v>46077.0</v>
      </c>
      <c r="B11" s="5" t="s">
        <v>880</v>
      </c>
      <c r="C11" s="6">
        <v>104.88</v>
      </c>
      <c r="D11" s="5" t="s">
        <v>550</v>
      </c>
      <c r="J11" s="63" t="s">
        <v>334</v>
      </c>
      <c r="L11" s="27"/>
    </row>
    <row r="12">
      <c r="A12" s="4">
        <v>46077.0</v>
      </c>
      <c r="B12" s="5" t="s">
        <v>881</v>
      </c>
      <c r="C12" s="6">
        <v>102.76</v>
      </c>
      <c r="D12" s="5" t="s">
        <v>550</v>
      </c>
      <c r="J12" s="5" t="s">
        <v>6</v>
      </c>
      <c r="K12" s="8">
        <f>G2</f>
        <v>13696.61</v>
      </c>
      <c r="L12" s="27"/>
    </row>
    <row r="13">
      <c r="A13" s="4">
        <v>46077.0</v>
      </c>
      <c r="B13" s="5" t="s">
        <v>882</v>
      </c>
      <c r="C13" s="6">
        <v>99.98</v>
      </c>
      <c r="D13" s="5" t="s">
        <v>183</v>
      </c>
      <c r="J13" s="5" t="s">
        <v>13</v>
      </c>
      <c r="K13" s="8">
        <f>SUMIF(D:D, "Pedro", C:C)</f>
        <v>3553.98</v>
      </c>
      <c r="L13" s="27"/>
    </row>
    <row r="14">
      <c r="A14" s="4">
        <v>46077.0</v>
      </c>
      <c r="B14" s="5" t="s">
        <v>884</v>
      </c>
      <c r="C14" s="6">
        <v>96.63</v>
      </c>
      <c r="D14" s="5" t="s">
        <v>16</v>
      </c>
      <c r="J14" s="5" t="s">
        <v>564</v>
      </c>
      <c r="K14" s="8">
        <v>566.72</v>
      </c>
      <c r="L14" s="27"/>
    </row>
    <row r="15">
      <c r="A15" s="4">
        <v>46077.0</v>
      </c>
      <c r="B15" s="5" t="s">
        <v>885</v>
      </c>
      <c r="C15" s="6">
        <v>95.0</v>
      </c>
      <c r="D15" s="5" t="s">
        <v>13</v>
      </c>
      <c r="J15" s="5" t="s">
        <v>887</v>
      </c>
      <c r="K15" s="8">
        <v>433.95</v>
      </c>
      <c r="L15" s="27"/>
    </row>
    <row r="16">
      <c r="A16" s="4">
        <v>46077.0</v>
      </c>
      <c r="B16" s="5" t="s">
        <v>888</v>
      </c>
      <c r="C16" s="6">
        <v>83.28</v>
      </c>
      <c r="D16" s="5" t="s">
        <v>550</v>
      </c>
      <c r="J16" s="5" t="s">
        <v>699</v>
      </c>
      <c r="K16" s="8">
        <f>37.5+37.5</f>
        <v>75</v>
      </c>
      <c r="L16" s="27"/>
    </row>
    <row r="17">
      <c r="A17" s="4">
        <v>46077.0</v>
      </c>
      <c r="B17" s="5" t="s">
        <v>890</v>
      </c>
      <c r="C17" s="6">
        <v>75.0</v>
      </c>
      <c r="D17" s="5" t="s">
        <v>16</v>
      </c>
      <c r="J17" s="5" t="s">
        <v>338</v>
      </c>
      <c r="K17" s="8">
        <f>sum(K13:K16)</f>
        <v>4629.65</v>
      </c>
      <c r="L17" s="27"/>
    </row>
    <row r="18">
      <c r="A18" s="4">
        <v>46077.0</v>
      </c>
      <c r="B18" s="5" t="s">
        <v>750</v>
      </c>
      <c r="C18" s="6">
        <v>74.0</v>
      </c>
      <c r="D18" s="5" t="s">
        <v>13</v>
      </c>
      <c r="J18" s="64" t="s">
        <v>19</v>
      </c>
      <c r="K18" s="65">
        <f>K12-K17</f>
        <v>9066.96</v>
      </c>
      <c r="L18" s="27"/>
    </row>
    <row r="19">
      <c r="A19" s="4">
        <v>46077.0</v>
      </c>
      <c r="B19" s="5" t="s">
        <v>749</v>
      </c>
      <c r="C19" s="6">
        <v>70.0</v>
      </c>
      <c r="D19" s="5" t="s">
        <v>13</v>
      </c>
      <c r="L19" s="27"/>
    </row>
    <row r="20">
      <c r="A20" s="4">
        <v>46077.0</v>
      </c>
      <c r="B20" s="5" t="s">
        <v>891</v>
      </c>
      <c r="C20" s="6">
        <v>66.49</v>
      </c>
      <c r="D20" s="5" t="s">
        <v>13</v>
      </c>
      <c r="J20" s="69" t="s">
        <v>359</v>
      </c>
      <c r="K20" s="67"/>
      <c r="L20" s="70" t="s">
        <v>360</v>
      </c>
    </row>
    <row r="21">
      <c r="A21" s="4">
        <v>46077.0</v>
      </c>
      <c r="B21" s="5" t="s">
        <v>892</v>
      </c>
      <c r="C21" s="6">
        <v>64.98</v>
      </c>
      <c r="D21" s="5" t="s">
        <v>893</v>
      </c>
      <c r="J21" s="5" t="s">
        <v>894</v>
      </c>
      <c r="K21" s="8">
        <v>2685.44</v>
      </c>
      <c r="L21" s="71" t="s">
        <v>362</v>
      </c>
    </row>
    <row r="22">
      <c r="A22" s="4">
        <v>46077.0</v>
      </c>
      <c r="B22" s="5" t="s">
        <v>895</v>
      </c>
      <c r="C22" s="6">
        <v>61.22</v>
      </c>
      <c r="D22" s="5" t="s">
        <v>550</v>
      </c>
      <c r="J22" s="5" t="s">
        <v>896</v>
      </c>
      <c r="K22" s="8">
        <v>46.62</v>
      </c>
      <c r="L22" s="71" t="s">
        <v>362</v>
      </c>
    </row>
    <row r="23">
      <c r="A23" s="4">
        <v>46077.0</v>
      </c>
      <c r="B23" s="5" t="s">
        <v>897</v>
      </c>
      <c r="C23" s="6">
        <v>49.0</v>
      </c>
      <c r="D23" s="5" t="s">
        <v>12</v>
      </c>
      <c r="J23" s="5" t="s">
        <v>370</v>
      </c>
      <c r="K23" s="8">
        <v>60.0</v>
      </c>
      <c r="L23" s="71" t="s">
        <v>362</v>
      </c>
    </row>
    <row r="24">
      <c r="A24" s="4">
        <v>46077.0</v>
      </c>
      <c r="B24" s="5" t="s">
        <v>899</v>
      </c>
      <c r="C24" s="6">
        <v>47.82</v>
      </c>
      <c r="D24" s="5" t="s">
        <v>550</v>
      </c>
      <c r="J24" s="5" t="s">
        <v>368</v>
      </c>
      <c r="K24" s="8"/>
      <c r="L24" s="71" t="s">
        <v>901</v>
      </c>
    </row>
    <row r="25">
      <c r="A25" s="4">
        <v>46077.0</v>
      </c>
      <c r="B25" s="5" t="s">
        <v>899</v>
      </c>
      <c r="C25" s="6">
        <v>39.16</v>
      </c>
      <c r="D25" s="5" t="s">
        <v>550</v>
      </c>
      <c r="J25" s="72" t="s">
        <v>6</v>
      </c>
      <c r="K25" s="73">
        <f>SUMIF(L2:L81,"pendente",K2:K81)</f>
        <v>0</v>
      </c>
    </row>
    <row r="26">
      <c r="A26" s="4">
        <v>46077.0</v>
      </c>
      <c r="B26" s="5" t="s">
        <v>902</v>
      </c>
      <c r="C26" s="6">
        <v>38.7</v>
      </c>
      <c r="D26" s="5" t="s">
        <v>550</v>
      </c>
    </row>
    <row r="27">
      <c r="A27" s="4">
        <v>46077.0</v>
      </c>
      <c r="B27" s="5" t="s">
        <v>903</v>
      </c>
      <c r="C27" s="6">
        <v>35.0</v>
      </c>
      <c r="D27" s="5" t="s">
        <v>13</v>
      </c>
      <c r="J27" s="30" t="s">
        <v>371</v>
      </c>
      <c r="K27" s="74">
        <f>K18</f>
        <v>9066.96</v>
      </c>
    </row>
    <row r="28">
      <c r="A28" s="4">
        <v>46077.0</v>
      </c>
      <c r="B28" s="5" t="s">
        <v>904</v>
      </c>
      <c r="C28" s="6">
        <v>34.02</v>
      </c>
      <c r="D28" s="5" t="s">
        <v>550</v>
      </c>
      <c r="J28" s="30" t="s">
        <v>373</v>
      </c>
      <c r="K28" s="75">
        <f>K9</f>
        <v>14158.73</v>
      </c>
      <c r="L28" s="27"/>
    </row>
    <row r="29">
      <c r="A29" s="4">
        <v>46077.0</v>
      </c>
      <c r="B29" s="5" t="s">
        <v>899</v>
      </c>
      <c r="C29" s="6">
        <v>33.31</v>
      </c>
      <c r="D29" s="5" t="s">
        <v>550</v>
      </c>
      <c r="J29" s="30" t="s">
        <v>47</v>
      </c>
      <c r="K29" s="76">
        <f>K28-K27</f>
        <v>5091.77</v>
      </c>
      <c r="L29" s="27"/>
    </row>
    <row r="30">
      <c r="A30" s="4">
        <v>46077.0</v>
      </c>
      <c r="B30" s="5" t="s">
        <v>876</v>
      </c>
      <c r="C30" s="6">
        <v>28.84</v>
      </c>
      <c r="D30" s="5" t="s">
        <v>550</v>
      </c>
      <c r="L30" s="27"/>
    </row>
    <row r="31">
      <c r="A31" s="4">
        <v>46077.0</v>
      </c>
      <c r="B31" s="5" t="s">
        <v>876</v>
      </c>
      <c r="C31" s="6">
        <v>26.56</v>
      </c>
      <c r="D31" s="5" t="s">
        <v>550</v>
      </c>
      <c r="L31" s="27"/>
    </row>
    <row r="32">
      <c r="A32" s="4">
        <v>46077.0</v>
      </c>
      <c r="B32" s="5" t="s">
        <v>905</v>
      </c>
      <c r="C32" s="6">
        <v>26.38</v>
      </c>
      <c r="D32" s="5" t="s">
        <v>550</v>
      </c>
    </row>
    <row r="33">
      <c r="A33" s="4">
        <v>46077.0</v>
      </c>
      <c r="B33" s="5" t="s">
        <v>906</v>
      </c>
      <c r="C33" s="6">
        <v>23.61</v>
      </c>
      <c r="D33" s="5" t="s">
        <v>550</v>
      </c>
    </row>
    <row r="34">
      <c r="A34" s="4">
        <v>46077.0</v>
      </c>
      <c r="B34" s="5" t="s">
        <v>876</v>
      </c>
      <c r="C34" s="6">
        <v>18.29</v>
      </c>
      <c r="D34" s="5" t="s">
        <v>550</v>
      </c>
    </row>
    <row r="35">
      <c r="A35" s="4">
        <v>46077.0</v>
      </c>
      <c r="B35" s="5" t="s">
        <v>907</v>
      </c>
      <c r="C35" s="6">
        <v>16.88</v>
      </c>
      <c r="D35" s="5" t="s">
        <v>550</v>
      </c>
      <c r="L35" s="27"/>
    </row>
    <row r="36">
      <c r="A36" s="4">
        <v>46077.0</v>
      </c>
      <c r="B36" s="5" t="s">
        <v>908</v>
      </c>
      <c r="C36" s="6">
        <v>15.83</v>
      </c>
      <c r="D36" s="5" t="s">
        <v>550</v>
      </c>
      <c r="L36" s="27"/>
    </row>
    <row r="37">
      <c r="A37" s="4">
        <v>46077.0</v>
      </c>
      <c r="B37" s="5" t="s">
        <v>909</v>
      </c>
      <c r="C37" s="6">
        <v>15.48</v>
      </c>
      <c r="D37" s="5" t="s">
        <v>550</v>
      </c>
      <c r="L37" s="27"/>
    </row>
    <row r="38">
      <c r="A38" s="4">
        <v>46077.0</v>
      </c>
      <c r="B38" s="5" t="s">
        <v>910</v>
      </c>
      <c r="C38" s="6">
        <v>14.07</v>
      </c>
      <c r="D38" s="5" t="s">
        <v>550</v>
      </c>
      <c r="L38" s="27"/>
    </row>
    <row r="39">
      <c r="A39" s="4">
        <v>46077.0</v>
      </c>
      <c r="B39" s="5" t="s">
        <v>911</v>
      </c>
      <c r="C39" s="6">
        <v>14.07</v>
      </c>
      <c r="D39" s="5" t="s">
        <v>550</v>
      </c>
      <c r="L39" s="27"/>
    </row>
    <row r="40">
      <c r="A40" s="4">
        <v>46077.0</v>
      </c>
      <c r="B40" s="5" t="s">
        <v>532</v>
      </c>
      <c r="C40" s="6">
        <v>12.0</v>
      </c>
      <c r="D40" s="5" t="s">
        <v>16</v>
      </c>
      <c r="L40" s="27"/>
    </row>
    <row r="41">
      <c r="A41" s="4">
        <v>46077.0</v>
      </c>
      <c r="B41" s="5" t="s">
        <v>899</v>
      </c>
      <c r="C41" s="6">
        <v>11.81</v>
      </c>
      <c r="D41" s="5" t="s">
        <v>550</v>
      </c>
      <c r="L41" s="27"/>
    </row>
    <row r="42">
      <c r="A42" s="4">
        <v>46077.0</v>
      </c>
      <c r="B42" s="5" t="s">
        <v>912</v>
      </c>
      <c r="C42" s="6">
        <v>11.42</v>
      </c>
      <c r="D42" s="5" t="s">
        <v>550</v>
      </c>
      <c r="L42" s="27"/>
    </row>
    <row r="43">
      <c r="A43" s="4">
        <v>46077.0</v>
      </c>
      <c r="B43" s="5" t="s">
        <v>876</v>
      </c>
      <c r="C43" s="6">
        <v>11.25</v>
      </c>
      <c r="D43" s="5" t="s">
        <v>550</v>
      </c>
      <c r="L43" s="27"/>
    </row>
    <row r="44">
      <c r="A44" s="4">
        <v>46077.0</v>
      </c>
      <c r="B44" s="5" t="s">
        <v>913</v>
      </c>
      <c r="C44" s="6">
        <v>11.14</v>
      </c>
      <c r="D44" s="5" t="s">
        <v>550</v>
      </c>
      <c r="L44" s="27"/>
    </row>
    <row r="45">
      <c r="A45" s="4">
        <v>46077.0</v>
      </c>
      <c r="B45" s="5" t="s">
        <v>914</v>
      </c>
      <c r="C45" s="6">
        <v>6.9</v>
      </c>
      <c r="D45" s="5" t="s">
        <v>13</v>
      </c>
      <c r="K45" s="3"/>
      <c r="L45" s="27"/>
    </row>
    <row r="46">
      <c r="A46" s="4">
        <v>46077.0</v>
      </c>
      <c r="B46" s="5" t="s">
        <v>915</v>
      </c>
      <c r="C46" s="6">
        <v>4.0</v>
      </c>
      <c r="D46" s="5" t="s">
        <v>137</v>
      </c>
      <c r="K46" s="3"/>
      <c r="L46" s="27"/>
    </row>
    <row r="47">
      <c r="A47" s="4">
        <v>46078.0</v>
      </c>
      <c r="B47" s="5" t="s">
        <v>659</v>
      </c>
      <c r="C47" s="6">
        <v>120.3</v>
      </c>
      <c r="D47" s="5" t="s">
        <v>13</v>
      </c>
      <c r="K47" s="3"/>
      <c r="L47" s="27"/>
    </row>
    <row r="48">
      <c r="A48" s="4">
        <v>46078.0</v>
      </c>
      <c r="B48" s="5" t="s">
        <v>916</v>
      </c>
      <c r="C48" s="6">
        <v>88.79</v>
      </c>
      <c r="D48" s="5" t="s">
        <v>893</v>
      </c>
      <c r="K48" s="3"/>
      <c r="L48" s="27"/>
    </row>
    <row r="49">
      <c r="A49" s="4">
        <v>46078.0</v>
      </c>
      <c r="B49" s="5" t="s">
        <v>917</v>
      </c>
      <c r="C49" s="6">
        <v>68.85</v>
      </c>
      <c r="D49" s="5" t="s">
        <v>35</v>
      </c>
      <c r="K49" s="3"/>
      <c r="L49" s="27"/>
    </row>
    <row r="50">
      <c r="A50" s="4">
        <v>46078.0</v>
      </c>
      <c r="B50" s="5" t="s">
        <v>773</v>
      </c>
      <c r="C50" s="6">
        <v>65.89</v>
      </c>
      <c r="D50" s="5" t="s">
        <v>31</v>
      </c>
      <c r="K50" s="3"/>
      <c r="L50" s="27"/>
    </row>
    <row r="51">
      <c r="A51" s="4">
        <v>46078.0</v>
      </c>
      <c r="B51" s="5" t="s">
        <v>918</v>
      </c>
      <c r="C51" s="6">
        <v>55.0</v>
      </c>
      <c r="D51" s="5" t="s">
        <v>13</v>
      </c>
      <c r="K51" s="3"/>
      <c r="L51" s="27"/>
    </row>
    <row r="52">
      <c r="A52" s="4">
        <v>46078.0</v>
      </c>
      <c r="B52" s="5" t="s">
        <v>919</v>
      </c>
      <c r="C52" s="6">
        <v>50.29</v>
      </c>
      <c r="D52" s="5" t="s">
        <v>893</v>
      </c>
      <c r="K52" s="3"/>
      <c r="L52" s="27"/>
    </row>
    <row r="53">
      <c r="A53" s="4">
        <v>46078.0</v>
      </c>
      <c r="B53" s="5" t="s">
        <v>920</v>
      </c>
      <c r="C53" s="6">
        <v>46.96</v>
      </c>
      <c r="D53" s="5" t="s">
        <v>893</v>
      </c>
      <c r="K53" s="3"/>
      <c r="L53" s="27"/>
    </row>
    <row r="54">
      <c r="A54" s="4">
        <v>46078.0</v>
      </c>
      <c r="B54" s="5" t="s">
        <v>216</v>
      </c>
      <c r="C54" s="6">
        <v>42.21</v>
      </c>
      <c r="D54" s="5" t="s">
        <v>136</v>
      </c>
      <c r="K54" s="3"/>
      <c r="L54" s="27"/>
    </row>
    <row r="55">
      <c r="A55" s="4">
        <v>46078.0</v>
      </c>
      <c r="B55" s="5" t="s">
        <v>921</v>
      </c>
      <c r="C55" s="6">
        <v>25.98</v>
      </c>
      <c r="D55" s="5" t="s">
        <v>893</v>
      </c>
      <c r="K55" s="3"/>
      <c r="L55" s="27"/>
    </row>
    <row r="56">
      <c r="A56" s="4">
        <v>46079.0</v>
      </c>
      <c r="B56" s="5" t="s">
        <v>781</v>
      </c>
      <c r="C56" s="6">
        <v>28.92</v>
      </c>
      <c r="D56" s="5" t="s">
        <v>149</v>
      </c>
      <c r="K56" s="3"/>
      <c r="L56" s="27"/>
    </row>
    <row r="57">
      <c r="A57" s="4">
        <v>46079.0</v>
      </c>
      <c r="B57" s="5" t="s">
        <v>216</v>
      </c>
      <c r="C57" s="6">
        <v>27.59</v>
      </c>
      <c r="D57" s="5" t="s">
        <v>136</v>
      </c>
      <c r="K57" s="3"/>
      <c r="L57" s="27"/>
    </row>
    <row r="58">
      <c r="A58" s="4">
        <v>46079.0</v>
      </c>
      <c r="B58" s="5" t="s">
        <v>773</v>
      </c>
      <c r="C58" s="6">
        <v>15.47</v>
      </c>
      <c r="D58" s="5" t="s">
        <v>31</v>
      </c>
      <c r="K58" s="3"/>
      <c r="L58" s="27"/>
    </row>
    <row r="59">
      <c r="A59" s="4">
        <v>46080.0</v>
      </c>
      <c r="B59" s="5" t="s">
        <v>922</v>
      </c>
      <c r="C59" s="6">
        <v>230.34</v>
      </c>
      <c r="D59" s="5" t="s">
        <v>149</v>
      </c>
      <c r="K59" s="3"/>
      <c r="L59" s="27"/>
    </row>
    <row r="60">
      <c r="A60" s="4">
        <v>46080.0</v>
      </c>
      <c r="B60" s="5" t="s">
        <v>923</v>
      </c>
      <c r="C60" s="6">
        <v>178.41</v>
      </c>
      <c r="D60" s="5" t="s">
        <v>16</v>
      </c>
      <c r="K60" s="3"/>
      <c r="L60" s="27"/>
    </row>
    <row r="61">
      <c r="A61" s="4">
        <v>46080.0</v>
      </c>
      <c r="B61" s="5" t="s">
        <v>924</v>
      </c>
      <c r="C61" s="6">
        <v>160.0</v>
      </c>
      <c r="D61" s="5" t="s">
        <v>13</v>
      </c>
      <c r="K61" s="3"/>
      <c r="L61" s="27"/>
    </row>
    <row r="62">
      <c r="A62" s="4">
        <v>46080.0</v>
      </c>
      <c r="B62" s="5" t="s">
        <v>925</v>
      </c>
      <c r="C62" s="6">
        <v>94.94</v>
      </c>
      <c r="D62" s="5" t="s">
        <v>35</v>
      </c>
      <c r="K62" s="3"/>
      <c r="L62" s="27"/>
    </row>
    <row r="63">
      <c r="A63" s="4">
        <v>46080.0</v>
      </c>
      <c r="B63" s="5" t="s">
        <v>712</v>
      </c>
      <c r="C63" s="6">
        <v>71.97</v>
      </c>
      <c r="D63" s="5" t="s">
        <v>13</v>
      </c>
      <c r="K63" s="3"/>
      <c r="L63" s="27"/>
    </row>
    <row r="64">
      <c r="A64" s="4">
        <v>46080.0</v>
      </c>
      <c r="B64" s="5" t="s">
        <v>926</v>
      </c>
      <c r="C64" s="6">
        <v>47.0</v>
      </c>
      <c r="D64" s="5" t="s">
        <v>13</v>
      </c>
      <c r="K64" s="3"/>
      <c r="L64" s="27"/>
    </row>
    <row r="65">
      <c r="A65" s="4">
        <v>46080.0</v>
      </c>
      <c r="B65" s="5" t="s">
        <v>828</v>
      </c>
      <c r="C65" s="6">
        <v>42.8</v>
      </c>
      <c r="D65" s="5" t="s">
        <v>183</v>
      </c>
      <c r="K65" s="3"/>
      <c r="L65" s="27"/>
    </row>
    <row r="66">
      <c r="A66" s="4">
        <v>46080.0</v>
      </c>
      <c r="B66" s="5" t="s">
        <v>219</v>
      </c>
      <c r="C66" s="6">
        <v>40.9</v>
      </c>
      <c r="D66" s="5" t="s">
        <v>67</v>
      </c>
      <c r="K66" s="3"/>
      <c r="L66" s="27"/>
    </row>
    <row r="67">
      <c r="A67" s="4">
        <v>46080.0</v>
      </c>
      <c r="B67" s="5" t="s">
        <v>802</v>
      </c>
      <c r="C67" s="6">
        <v>37.0</v>
      </c>
      <c r="D67" s="5" t="s">
        <v>245</v>
      </c>
      <c r="K67" s="3"/>
      <c r="L67" s="27"/>
    </row>
    <row r="68">
      <c r="A68" s="4">
        <v>46080.0</v>
      </c>
      <c r="B68" s="5" t="s">
        <v>216</v>
      </c>
      <c r="C68" s="6">
        <v>31.97</v>
      </c>
      <c r="D68" s="5" t="s">
        <v>136</v>
      </c>
      <c r="K68" s="3"/>
      <c r="L68" s="27"/>
    </row>
    <row r="69">
      <c r="A69" s="4">
        <v>46080.0</v>
      </c>
      <c r="B69" s="5" t="s">
        <v>532</v>
      </c>
      <c r="C69" s="6">
        <v>12.0</v>
      </c>
      <c r="D69" s="5" t="s">
        <v>16</v>
      </c>
      <c r="K69" s="3"/>
      <c r="L69" s="27"/>
    </row>
    <row r="70">
      <c r="A70" s="4">
        <v>46080.0</v>
      </c>
      <c r="B70" s="5" t="s">
        <v>927</v>
      </c>
      <c r="C70" s="6">
        <v>10.0</v>
      </c>
      <c r="D70" s="5" t="s">
        <v>136</v>
      </c>
      <c r="K70" s="3"/>
      <c r="L70" s="27"/>
    </row>
    <row r="71">
      <c r="A71" s="4">
        <v>46081.0</v>
      </c>
      <c r="B71" s="5" t="s">
        <v>532</v>
      </c>
      <c r="C71" s="6">
        <v>3.2</v>
      </c>
      <c r="D71" s="5" t="s">
        <v>16</v>
      </c>
      <c r="K71" s="3"/>
      <c r="L71" s="27"/>
    </row>
    <row r="72">
      <c r="A72" s="4">
        <v>46082.0</v>
      </c>
      <c r="B72" s="5" t="s">
        <v>928</v>
      </c>
      <c r="C72" s="6">
        <v>150.0</v>
      </c>
      <c r="D72" s="5" t="s">
        <v>13</v>
      </c>
      <c r="K72" s="3"/>
      <c r="L72" s="27"/>
    </row>
    <row r="73">
      <c r="A73" s="4">
        <v>46082.0</v>
      </c>
      <c r="B73" s="5" t="s">
        <v>929</v>
      </c>
      <c r="C73" s="6">
        <v>126.68</v>
      </c>
      <c r="D73" s="5" t="s">
        <v>13</v>
      </c>
      <c r="K73" s="3"/>
      <c r="L73" s="27"/>
    </row>
    <row r="74">
      <c r="A74" s="4">
        <v>46082.0</v>
      </c>
      <c r="B74" s="5" t="s">
        <v>294</v>
      </c>
      <c r="C74" s="6">
        <v>99.95</v>
      </c>
      <c r="D74" s="5" t="s">
        <v>35</v>
      </c>
      <c r="K74" s="3"/>
      <c r="L74" s="27"/>
    </row>
    <row r="75">
      <c r="A75" s="4">
        <v>46082.0</v>
      </c>
      <c r="B75" s="5" t="s">
        <v>659</v>
      </c>
      <c r="C75" s="6">
        <v>97.91</v>
      </c>
      <c r="D75" s="5" t="s">
        <v>13</v>
      </c>
      <c r="K75" s="3"/>
      <c r="L75" s="27"/>
    </row>
    <row r="76">
      <c r="A76" s="4">
        <v>46082.0</v>
      </c>
      <c r="B76" s="5" t="s">
        <v>216</v>
      </c>
      <c r="C76" s="6">
        <v>71.17</v>
      </c>
      <c r="D76" s="5" t="s">
        <v>136</v>
      </c>
      <c r="K76" s="3"/>
      <c r="L76" s="27"/>
    </row>
    <row r="77">
      <c r="A77" s="4">
        <v>46082.0</v>
      </c>
      <c r="B77" s="5" t="s">
        <v>244</v>
      </c>
      <c r="C77" s="6">
        <v>58.0</v>
      </c>
      <c r="D77" s="5" t="s">
        <v>13</v>
      </c>
      <c r="K77" s="3"/>
      <c r="L77" s="27"/>
    </row>
    <row r="78">
      <c r="A78" s="4">
        <v>46082.0</v>
      </c>
      <c r="B78" s="5" t="s">
        <v>77</v>
      </c>
      <c r="C78" s="6">
        <v>9.0</v>
      </c>
      <c r="D78" s="5" t="s">
        <v>67</v>
      </c>
      <c r="K78" s="3"/>
      <c r="L78" s="27"/>
    </row>
    <row r="79">
      <c r="A79" s="4">
        <v>46082.0</v>
      </c>
      <c r="B79" s="5" t="s">
        <v>930</v>
      </c>
      <c r="C79" s="6">
        <v>6.2</v>
      </c>
      <c r="D79" s="5" t="s">
        <v>31</v>
      </c>
      <c r="K79" s="3"/>
      <c r="L79" s="27"/>
    </row>
    <row r="80">
      <c r="A80" s="4">
        <v>46082.0</v>
      </c>
      <c r="B80" s="5" t="s">
        <v>532</v>
      </c>
      <c r="C80" s="6">
        <v>3.2</v>
      </c>
      <c r="D80" s="5" t="s">
        <v>16</v>
      </c>
      <c r="K80" s="3"/>
      <c r="L80" s="27"/>
    </row>
    <row r="81">
      <c r="A81" s="4">
        <v>46083.0</v>
      </c>
      <c r="B81" s="5" t="s">
        <v>99</v>
      </c>
      <c r="C81" s="6">
        <v>53.9</v>
      </c>
      <c r="D81" s="5" t="s">
        <v>67</v>
      </c>
      <c r="K81" s="3"/>
      <c r="L81" s="27"/>
    </row>
    <row r="82">
      <c r="A82" s="4">
        <v>46083.0</v>
      </c>
      <c r="B82" s="5" t="s">
        <v>931</v>
      </c>
      <c r="C82" s="6">
        <v>48.0</v>
      </c>
      <c r="D82" s="5" t="s">
        <v>149</v>
      </c>
      <c r="K82" s="3"/>
      <c r="L82" s="27"/>
    </row>
    <row r="83">
      <c r="A83" s="4">
        <v>46083.0</v>
      </c>
      <c r="B83" s="5" t="s">
        <v>663</v>
      </c>
      <c r="C83" s="6">
        <v>24.0</v>
      </c>
      <c r="D83" s="5" t="s">
        <v>13</v>
      </c>
      <c r="K83" s="3"/>
      <c r="L83" s="27"/>
    </row>
    <row r="84">
      <c r="A84" s="4">
        <v>46083.0</v>
      </c>
      <c r="B84" s="5" t="s">
        <v>932</v>
      </c>
      <c r="C84" s="6">
        <v>8.0</v>
      </c>
      <c r="D84" s="5" t="s">
        <v>31</v>
      </c>
      <c r="K84" s="3"/>
      <c r="L84" s="27"/>
    </row>
    <row r="85">
      <c r="A85" s="4">
        <v>46084.0</v>
      </c>
      <c r="B85" s="5" t="s">
        <v>933</v>
      </c>
      <c r="C85" s="6">
        <v>115.0</v>
      </c>
      <c r="D85" s="5" t="s">
        <v>13</v>
      </c>
      <c r="K85" s="3"/>
      <c r="L85" s="27"/>
    </row>
    <row r="86">
      <c r="A86" s="4">
        <v>46084.0</v>
      </c>
      <c r="B86" s="86" t="s">
        <v>490</v>
      </c>
      <c r="C86" s="6">
        <v>57.8</v>
      </c>
      <c r="D86" s="5" t="s">
        <v>67</v>
      </c>
      <c r="K86" s="3"/>
      <c r="L86" s="27"/>
    </row>
    <row r="87">
      <c r="A87" s="4">
        <v>46084.0</v>
      </c>
      <c r="B87" s="5" t="s">
        <v>934</v>
      </c>
      <c r="C87" s="6">
        <v>34.0</v>
      </c>
      <c r="D87" s="5" t="s">
        <v>13</v>
      </c>
      <c r="K87" s="3"/>
      <c r="L87" s="27"/>
    </row>
    <row r="88">
      <c r="A88" s="4">
        <v>46085.0</v>
      </c>
      <c r="B88" s="5" t="s">
        <v>935</v>
      </c>
      <c r="C88" s="6">
        <v>177.04</v>
      </c>
      <c r="D88" s="5" t="s">
        <v>16</v>
      </c>
      <c r="K88" s="3"/>
      <c r="L88" s="27"/>
    </row>
    <row r="89">
      <c r="A89" s="4">
        <v>46085.0</v>
      </c>
      <c r="B89" s="5" t="s">
        <v>659</v>
      </c>
      <c r="C89" s="6">
        <v>76.66</v>
      </c>
      <c r="D89" s="5" t="s">
        <v>13</v>
      </c>
      <c r="K89" s="3"/>
      <c r="L89" s="27"/>
    </row>
    <row r="90">
      <c r="A90" s="4">
        <v>46085.0</v>
      </c>
      <c r="B90" s="5" t="s">
        <v>750</v>
      </c>
      <c r="C90" s="6">
        <v>70.0</v>
      </c>
      <c r="D90" s="5" t="s">
        <v>13</v>
      </c>
      <c r="K90" s="3"/>
      <c r="L90" s="27"/>
    </row>
    <row r="91">
      <c r="A91" s="4">
        <v>46085.0</v>
      </c>
      <c r="B91" s="5" t="s">
        <v>936</v>
      </c>
      <c r="C91" s="6">
        <v>44.99</v>
      </c>
      <c r="D91" s="5" t="s">
        <v>937</v>
      </c>
      <c r="K91" s="3"/>
      <c r="L91" s="27"/>
    </row>
    <row r="92">
      <c r="A92" s="4">
        <v>46085.0</v>
      </c>
      <c r="B92" s="5" t="s">
        <v>808</v>
      </c>
      <c r="C92" s="6">
        <v>12.0</v>
      </c>
      <c r="D92" s="5" t="s">
        <v>16</v>
      </c>
      <c r="K92" s="3"/>
      <c r="L92" s="27"/>
    </row>
    <row r="93">
      <c r="A93" s="4">
        <v>46086.0</v>
      </c>
      <c r="B93" s="5" t="s">
        <v>642</v>
      </c>
      <c r="C93" s="6">
        <v>21.0</v>
      </c>
      <c r="D93" s="5" t="s">
        <v>13</v>
      </c>
      <c r="K93" s="3"/>
      <c r="L93" s="27"/>
    </row>
    <row r="94">
      <c r="A94" s="4">
        <v>46086.0</v>
      </c>
      <c r="B94" s="5" t="s">
        <v>659</v>
      </c>
      <c r="C94" s="6">
        <v>16.78</v>
      </c>
      <c r="D94" s="5" t="s">
        <v>13</v>
      </c>
      <c r="K94" s="3"/>
      <c r="L94" s="27"/>
    </row>
    <row r="95">
      <c r="A95" s="4">
        <v>46087.0</v>
      </c>
      <c r="B95" s="5" t="s">
        <v>938</v>
      </c>
      <c r="C95" s="6">
        <v>194.17</v>
      </c>
      <c r="D95" s="5" t="s">
        <v>16</v>
      </c>
      <c r="K95" s="3"/>
      <c r="L95" s="27"/>
    </row>
    <row r="96">
      <c r="A96" s="4">
        <v>46087.0</v>
      </c>
      <c r="B96" s="5" t="s">
        <v>939</v>
      </c>
      <c r="C96" s="6">
        <v>128.34</v>
      </c>
      <c r="D96" s="5" t="s">
        <v>940</v>
      </c>
      <c r="K96" s="3"/>
      <c r="L96" s="27"/>
    </row>
    <row r="97">
      <c r="A97" s="4">
        <v>46087.0</v>
      </c>
      <c r="B97" s="5" t="s">
        <v>941</v>
      </c>
      <c r="C97" s="6">
        <v>79.0</v>
      </c>
      <c r="D97" s="5" t="s">
        <v>13</v>
      </c>
      <c r="K97" s="3"/>
      <c r="L97" s="27"/>
    </row>
    <row r="98">
      <c r="A98" s="4">
        <v>46087.0</v>
      </c>
      <c r="B98" s="5" t="s">
        <v>750</v>
      </c>
      <c r="C98" s="6">
        <v>54.0</v>
      </c>
      <c r="D98" s="5" t="s">
        <v>13</v>
      </c>
      <c r="K98" s="3"/>
      <c r="L98" s="27"/>
    </row>
    <row r="99">
      <c r="A99" s="4">
        <v>46087.0</v>
      </c>
      <c r="B99" s="5" t="s">
        <v>493</v>
      </c>
      <c r="C99" s="6">
        <v>14.9</v>
      </c>
      <c r="D99" s="5" t="s">
        <v>67</v>
      </c>
      <c r="K99" s="3"/>
      <c r="L99" s="27"/>
    </row>
    <row r="100">
      <c r="A100" s="4">
        <v>46088.0</v>
      </c>
      <c r="B100" s="5" t="s">
        <v>659</v>
      </c>
      <c r="C100" s="6">
        <v>125.63</v>
      </c>
      <c r="D100" s="5" t="s">
        <v>13</v>
      </c>
      <c r="K100" s="3"/>
      <c r="L100" s="27"/>
    </row>
    <row r="101">
      <c r="A101" s="4">
        <v>46088.0</v>
      </c>
      <c r="B101" s="5" t="s">
        <v>802</v>
      </c>
      <c r="C101" s="6">
        <v>24.0</v>
      </c>
      <c r="D101" s="5" t="s">
        <v>245</v>
      </c>
      <c r="K101" s="3"/>
      <c r="L101" s="27"/>
    </row>
    <row r="102">
      <c r="A102" s="4">
        <v>46088.0</v>
      </c>
      <c r="B102" s="5" t="s">
        <v>532</v>
      </c>
      <c r="C102" s="6">
        <v>12.0</v>
      </c>
      <c r="D102" s="5" t="s">
        <v>16</v>
      </c>
      <c r="K102" s="3"/>
      <c r="L102" s="27"/>
    </row>
    <row r="103">
      <c r="A103" s="4">
        <v>46089.0</v>
      </c>
      <c r="B103" s="5" t="s">
        <v>523</v>
      </c>
      <c r="C103" s="6">
        <v>195.0</v>
      </c>
      <c r="D103" s="5" t="s">
        <v>13</v>
      </c>
      <c r="K103" s="3"/>
      <c r="L103" s="27"/>
    </row>
    <row r="104">
      <c r="A104" s="4">
        <v>46089.0</v>
      </c>
      <c r="B104" s="5" t="s">
        <v>942</v>
      </c>
      <c r="C104" s="6">
        <v>190.0</v>
      </c>
      <c r="D104" s="5" t="s">
        <v>943</v>
      </c>
      <c r="K104" s="3"/>
      <c r="L104" s="27"/>
    </row>
    <row r="105">
      <c r="A105" s="4">
        <v>46089.0</v>
      </c>
      <c r="B105" s="5" t="s">
        <v>944</v>
      </c>
      <c r="C105" s="6">
        <v>158.0</v>
      </c>
      <c r="D105" s="5" t="s">
        <v>940</v>
      </c>
      <c r="K105" s="3"/>
      <c r="L105" s="27"/>
    </row>
    <row r="106">
      <c r="A106" s="4">
        <v>46089.0</v>
      </c>
      <c r="B106" s="5" t="s">
        <v>945</v>
      </c>
      <c r="C106" s="6">
        <v>102.48</v>
      </c>
      <c r="D106" s="5" t="s">
        <v>13</v>
      </c>
      <c r="K106" s="3"/>
      <c r="L106" s="27"/>
    </row>
    <row r="107">
      <c r="A107" s="4">
        <v>46089.0</v>
      </c>
      <c r="B107" s="5" t="s">
        <v>762</v>
      </c>
      <c r="C107" s="6">
        <v>99.68</v>
      </c>
      <c r="D107" s="5" t="s">
        <v>13</v>
      </c>
      <c r="K107" s="3"/>
      <c r="L107" s="27"/>
    </row>
    <row r="108">
      <c r="A108" s="4">
        <v>46089.0</v>
      </c>
      <c r="B108" s="5" t="s">
        <v>809</v>
      </c>
      <c r="C108" s="6">
        <v>80.0</v>
      </c>
      <c r="D108" s="5" t="s">
        <v>149</v>
      </c>
      <c r="K108" s="3"/>
      <c r="L108" s="27"/>
    </row>
    <row r="109">
      <c r="A109" s="4">
        <v>46089.0</v>
      </c>
      <c r="B109" s="5" t="s">
        <v>946</v>
      </c>
      <c r="C109" s="6">
        <v>75.0</v>
      </c>
      <c r="D109" s="5" t="s">
        <v>149</v>
      </c>
      <c r="K109" s="3"/>
      <c r="L109" s="27"/>
    </row>
    <row r="110">
      <c r="A110" s="4">
        <v>46089.0</v>
      </c>
      <c r="B110" s="5" t="s">
        <v>750</v>
      </c>
      <c r="C110" s="6">
        <v>71.5</v>
      </c>
      <c r="D110" s="5" t="s">
        <v>13</v>
      </c>
      <c r="K110" s="3"/>
      <c r="L110" s="27"/>
    </row>
    <row r="111">
      <c r="A111" s="4">
        <v>46089.0</v>
      </c>
      <c r="B111" s="5" t="s">
        <v>947</v>
      </c>
      <c r="C111" s="6">
        <v>38.0</v>
      </c>
      <c r="D111" s="5" t="s">
        <v>31</v>
      </c>
      <c r="K111" s="3"/>
      <c r="L111" s="27"/>
    </row>
    <row r="112">
      <c r="A112" s="4">
        <v>46089.0</v>
      </c>
      <c r="B112" s="5" t="s">
        <v>948</v>
      </c>
      <c r="C112" s="6">
        <v>23.0</v>
      </c>
      <c r="D112" s="5" t="s">
        <v>149</v>
      </c>
      <c r="K112" s="3"/>
      <c r="L112" s="27"/>
    </row>
    <row r="113">
      <c r="A113" s="4">
        <v>46089.0</v>
      </c>
      <c r="B113" s="5" t="s">
        <v>949</v>
      </c>
      <c r="C113" s="6">
        <v>22.0</v>
      </c>
      <c r="D113" s="5" t="s">
        <v>149</v>
      </c>
      <c r="K113" s="3"/>
      <c r="L113" s="27"/>
    </row>
    <row r="114">
      <c r="A114" s="4">
        <v>46089.0</v>
      </c>
      <c r="B114" s="5" t="s">
        <v>949</v>
      </c>
      <c r="C114" s="6">
        <v>8.0</v>
      </c>
      <c r="D114" s="5" t="s">
        <v>149</v>
      </c>
      <c r="K114" s="3"/>
      <c r="L114" s="27"/>
    </row>
    <row r="115">
      <c r="A115" s="4">
        <v>46090.0</v>
      </c>
      <c r="B115" s="5" t="s">
        <v>950</v>
      </c>
      <c r="C115" s="6">
        <v>2766.19</v>
      </c>
      <c r="D115" s="5" t="s">
        <v>894</v>
      </c>
      <c r="K115" s="3"/>
      <c r="L115" s="27"/>
    </row>
    <row r="116">
      <c r="A116" s="4">
        <v>46090.0</v>
      </c>
      <c r="B116" s="5" t="s">
        <v>951</v>
      </c>
      <c r="C116" s="6">
        <v>239.0</v>
      </c>
      <c r="D116" s="5" t="s">
        <v>13</v>
      </c>
      <c r="K116" s="3"/>
      <c r="L116" s="27"/>
    </row>
    <row r="117">
      <c r="A117" s="4">
        <v>46090.0</v>
      </c>
      <c r="B117" s="5" t="s">
        <v>952</v>
      </c>
      <c r="C117" s="6">
        <v>154.85</v>
      </c>
      <c r="D117" s="5" t="s">
        <v>13</v>
      </c>
      <c r="K117" s="3"/>
      <c r="L117" s="27"/>
    </row>
    <row r="118">
      <c r="A118" s="4">
        <v>46090.0</v>
      </c>
      <c r="B118" s="5" t="s">
        <v>953</v>
      </c>
      <c r="C118" s="6">
        <v>135.99</v>
      </c>
      <c r="D118" s="5" t="s">
        <v>136</v>
      </c>
      <c r="K118" s="3"/>
      <c r="L118" s="27"/>
    </row>
    <row r="119">
      <c r="A119" s="4">
        <v>46090.0</v>
      </c>
      <c r="B119" s="5" t="s">
        <v>954</v>
      </c>
      <c r="C119" s="6">
        <v>24.99</v>
      </c>
      <c r="D119" s="5" t="s">
        <v>16</v>
      </c>
      <c r="K119" s="3"/>
      <c r="L119" s="27"/>
    </row>
    <row r="120">
      <c r="A120" s="4">
        <v>46092.0</v>
      </c>
      <c r="B120" s="5" t="s">
        <v>216</v>
      </c>
      <c r="C120" s="6">
        <v>15.58</v>
      </c>
      <c r="D120" s="5" t="s">
        <v>136</v>
      </c>
      <c r="K120" s="3"/>
      <c r="L120" s="27"/>
    </row>
    <row r="121">
      <c r="A121" s="4">
        <v>46092.0</v>
      </c>
      <c r="B121" s="5" t="s">
        <v>216</v>
      </c>
      <c r="C121" s="6">
        <v>8.99</v>
      </c>
      <c r="D121" s="5" t="s">
        <v>136</v>
      </c>
      <c r="K121" s="3"/>
      <c r="L121" s="27"/>
    </row>
    <row r="122">
      <c r="A122" s="4">
        <v>46093.0</v>
      </c>
      <c r="B122" s="5" t="s">
        <v>935</v>
      </c>
      <c r="C122" s="6">
        <v>235.54</v>
      </c>
      <c r="D122" s="5" t="s">
        <v>16</v>
      </c>
      <c r="K122" s="3"/>
      <c r="L122" s="27"/>
    </row>
    <row r="123">
      <c r="A123" s="4">
        <v>46093.0</v>
      </c>
      <c r="B123" s="5" t="s">
        <v>955</v>
      </c>
      <c r="C123" s="6">
        <v>89.95</v>
      </c>
      <c r="D123" s="5" t="s">
        <v>35</v>
      </c>
      <c r="K123" s="3"/>
      <c r="L123" s="27"/>
    </row>
    <row r="124">
      <c r="A124" s="4">
        <v>46093.0</v>
      </c>
      <c r="B124" s="5" t="s">
        <v>956</v>
      </c>
      <c r="C124" s="6">
        <v>35.0</v>
      </c>
      <c r="D124" s="5" t="s">
        <v>149</v>
      </c>
      <c r="K124" s="3"/>
      <c r="L124" s="27"/>
    </row>
    <row r="125">
      <c r="A125" s="4">
        <v>46093.0</v>
      </c>
      <c r="B125" s="5" t="s">
        <v>123</v>
      </c>
      <c r="C125" s="6">
        <v>9.99</v>
      </c>
      <c r="D125" s="5" t="s">
        <v>67</v>
      </c>
      <c r="K125" s="3"/>
      <c r="L125" s="27"/>
    </row>
    <row r="126">
      <c r="A126" s="4">
        <v>46094.0</v>
      </c>
      <c r="B126" s="5" t="s">
        <v>957</v>
      </c>
      <c r="C126" s="6">
        <v>69.9</v>
      </c>
      <c r="D126" s="5" t="s">
        <v>13</v>
      </c>
      <c r="K126" s="3"/>
      <c r="L126" s="27"/>
    </row>
    <row r="127">
      <c r="A127" s="4">
        <v>46094.0</v>
      </c>
      <c r="B127" s="5" t="s">
        <v>532</v>
      </c>
      <c r="C127" s="6">
        <v>12.0</v>
      </c>
      <c r="D127" s="5" t="s">
        <v>16</v>
      </c>
      <c r="K127" s="3"/>
      <c r="L127" s="27"/>
    </row>
    <row r="128">
      <c r="A128" s="4">
        <v>46095.0</v>
      </c>
      <c r="B128" s="5" t="s">
        <v>921</v>
      </c>
      <c r="C128" s="6">
        <v>69.97</v>
      </c>
      <c r="D128" s="5" t="s">
        <v>893</v>
      </c>
      <c r="K128" s="3"/>
      <c r="L128" s="27"/>
    </row>
    <row r="129">
      <c r="A129" s="4">
        <v>46095.0</v>
      </c>
      <c r="B129" s="5" t="s">
        <v>958</v>
      </c>
      <c r="C129" s="6">
        <v>69.95</v>
      </c>
      <c r="D129" s="5" t="s">
        <v>35</v>
      </c>
      <c r="K129" s="3"/>
      <c r="L129" s="27"/>
    </row>
    <row r="130">
      <c r="A130" s="4">
        <v>46095.0</v>
      </c>
      <c r="B130" s="5" t="s">
        <v>844</v>
      </c>
      <c r="C130" s="6">
        <v>42.38</v>
      </c>
      <c r="D130" s="5" t="s">
        <v>183</v>
      </c>
      <c r="K130" s="3"/>
      <c r="L130" s="27"/>
    </row>
    <row r="131">
      <c r="A131" s="4">
        <v>46095.0</v>
      </c>
      <c r="B131" s="5" t="s">
        <v>948</v>
      </c>
      <c r="C131" s="6">
        <v>35.0</v>
      </c>
      <c r="D131" s="5" t="s">
        <v>149</v>
      </c>
      <c r="K131" s="3"/>
      <c r="L131" s="27"/>
    </row>
    <row r="132">
      <c r="A132" s="4">
        <v>46095.0</v>
      </c>
      <c r="B132" s="5" t="s">
        <v>959</v>
      </c>
      <c r="C132" s="6">
        <v>34.96</v>
      </c>
      <c r="D132" s="5" t="s">
        <v>893</v>
      </c>
      <c r="K132" s="3"/>
      <c r="L132" s="27"/>
    </row>
    <row r="133">
      <c r="A133" s="4">
        <v>46095.0</v>
      </c>
      <c r="B133" s="5" t="s">
        <v>960</v>
      </c>
      <c r="C133" s="6">
        <v>14.99</v>
      </c>
      <c r="D133" s="5" t="s">
        <v>31</v>
      </c>
      <c r="K133" s="3"/>
      <c r="L133" s="27"/>
    </row>
    <row r="134">
      <c r="A134" s="4">
        <v>46096.0</v>
      </c>
      <c r="B134" s="5" t="s">
        <v>961</v>
      </c>
      <c r="C134" s="6">
        <v>48.0</v>
      </c>
      <c r="D134" s="5" t="s">
        <v>13</v>
      </c>
      <c r="K134" s="3"/>
      <c r="L134" s="27"/>
    </row>
    <row r="135">
      <c r="A135" s="4">
        <v>46096.0</v>
      </c>
      <c r="B135" s="5" t="s">
        <v>962</v>
      </c>
      <c r="C135" s="6">
        <v>43.01</v>
      </c>
      <c r="D135" s="5" t="s">
        <v>31</v>
      </c>
      <c r="K135" s="3"/>
      <c r="L135" s="27"/>
    </row>
    <row r="136">
      <c r="A136" s="4">
        <v>46096.0</v>
      </c>
      <c r="B136" s="5" t="s">
        <v>920</v>
      </c>
      <c r="C136" s="6">
        <v>40.46</v>
      </c>
      <c r="D136" s="5" t="s">
        <v>31</v>
      </c>
      <c r="K136" s="3"/>
      <c r="L136" s="27"/>
    </row>
    <row r="137">
      <c r="A137" s="4">
        <v>46096.0</v>
      </c>
      <c r="B137" s="5" t="s">
        <v>811</v>
      </c>
      <c r="C137" s="6">
        <v>29.88</v>
      </c>
      <c r="D137" s="5" t="s">
        <v>149</v>
      </c>
      <c r="K137" s="3"/>
      <c r="L137" s="27"/>
    </row>
    <row r="138">
      <c r="A138" s="4">
        <v>46096.0</v>
      </c>
      <c r="B138" s="5" t="s">
        <v>750</v>
      </c>
      <c r="C138" s="6">
        <v>27.0</v>
      </c>
      <c r="D138" s="5" t="s">
        <v>13</v>
      </c>
      <c r="K138" s="3"/>
      <c r="L138" s="27"/>
    </row>
    <row r="139">
      <c r="A139" s="4">
        <v>46096.0</v>
      </c>
      <c r="B139" s="5" t="s">
        <v>801</v>
      </c>
      <c r="C139" s="6">
        <v>2.5</v>
      </c>
      <c r="D139" s="5" t="s">
        <v>16</v>
      </c>
      <c r="K139" s="3"/>
      <c r="L139" s="27"/>
    </row>
    <row r="140">
      <c r="A140" s="4">
        <v>46097.0</v>
      </c>
      <c r="B140" s="5" t="s">
        <v>397</v>
      </c>
      <c r="C140" s="6">
        <v>65.9</v>
      </c>
      <c r="D140" s="5" t="s">
        <v>616</v>
      </c>
      <c r="K140" s="3"/>
      <c r="L140" s="27"/>
    </row>
    <row r="141">
      <c r="A141" s="4">
        <v>46097.0</v>
      </c>
      <c r="B141" s="5" t="s">
        <v>963</v>
      </c>
      <c r="C141" s="6">
        <v>32.61</v>
      </c>
      <c r="D141" s="5" t="s">
        <v>149</v>
      </c>
      <c r="K141" s="3"/>
      <c r="L141" s="27"/>
    </row>
    <row r="142">
      <c r="A142" s="4">
        <v>46097.0</v>
      </c>
      <c r="B142" s="5" t="s">
        <v>807</v>
      </c>
      <c r="C142" s="6">
        <v>25.0</v>
      </c>
      <c r="D142" s="5" t="s">
        <v>137</v>
      </c>
      <c r="K142" s="3"/>
      <c r="L142" s="27"/>
    </row>
    <row r="143">
      <c r="A143" s="4">
        <v>46097.0</v>
      </c>
      <c r="B143" s="5" t="s">
        <v>964</v>
      </c>
      <c r="C143" s="6">
        <v>8.0</v>
      </c>
      <c r="D143" s="5" t="s">
        <v>149</v>
      </c>
      <c r="K143" s="3"/>
      <c r="L143" s="27"/>
    </row>
    <row r="144">
      <c r="A144" s="4">
        <v>46098.0</v>
      </c>
      <c r="B144" s="5" t="s">
        <v>750</v>
      </c>
      <c r="C144" s="6">
        <v>59.0</v>
      </c>
      <c r="D144" s="5" t="s">
        <v>13</v>
      </c>
      <c r="K144" s="3"/>
      <c r="L144" s="27"/>
    </row>
    <row r="145">
      <c r="A145" s="4">
        <v>46098.0</v>
      </c>
      <c r="B145" s="5" t="s">
        <v>965</v>
      </c>
      <c r="C145" s="6">
        <v>41.4</v>
      </c>
      <c r="D145" s="5" t="s">
        <v>13</v>
      </c>
      <c r="K145" s="3"/>
      <c r="L145" s="27"/>
    </row>
    <row r="146">
      <c r="A146" s="4">
        <v>46098.0</v>
      </c>
      <c r="B146" s="5" t="s">
        <v>966</v>
      </c>
      <c r="C146" s="6">
        <v>40.64</v>
      </c>
      <c r="D146" s="5" t="s">
        <v>13</v>
      </c>
      <c r="K146" s="3"/>
      <c r="L146" s="27"/>
    </row>
    <row r="147">
      <c r="A147" s="4">
        <v>46098.0</v>
      </c>
      <c r="B147" s="5" t="s">
        <v>967</v>
      </c>
      <c r="C147" s="6">
        <v>22.75</v>
      </c>
      <c r="D147" s="5" t="s">
        <v>13</v>
      </c>
      <c r="K147" s="3"/>
      <c r="L147" s="27"/>
    </row>
    <row r="148">
      <c r="A148" s="4">
        <v>46098.0</v>
      </c>
      <c r="B148" s="5" t="s">
        <v>968</v>
      </c>
      <c r="C148" s="6">
        <v>9.98</v>
      </c>
      <c r="D148" s="5" t="s">
        <v>31</v>
      </c>
      <c r="K148" s="3"/>
      <c r="L148" s="27"/>
    </row>
    <row r="149">
      <c r="A149" s="4">
        <v>46107.0</v>
      </c>
      <c r="B149" s="5" t="s">
        <v>532</v>
      </c>
      <c r="C149" s="6">
        <v>3.2</v>
      </c>
      <c r="D149" s="5" t="s">
        <v>16</v>
      </c>
      <c r="K149" s="3"/>
      <c r="L149" s="27"/>
    </row>
    <row r="150">
      <c r="A150" s="4">
        <v>46107.0</v>
      </c>
      <c r="B150" s="5" t="s">
        <v>773</v>
      </c>
      <c r="C150" s="6">
        <v>39.1</v>
      </c>
      <c r="D150" s="5" t="s">
        <v>31</v>
      </c>
      <c r="K150" s="3"/>
      <c r="L150" s="27"/>
    </row>
    <row r="151">
      <c r="A151" s="4">
        <v>46107.0</v>
      </c>
      <c r="B151" s="5" t="s">
        <v>935</v>
      </c>
      <c r="C151" s="6">
        <v>100.0</v>
      </c>
      <c r="D151" s="5" t="s">
        <v>16</v>
      </c>
      <c r="K151" s="3"/>
      <c r="L151" s="27"/>
    </row>
    <row r="152">
      <c r="A152" s="4">
        <v>46107.0</v>
      </c>
      <c r="B152" s="5" t="s">
        <v>532</v>
      </c>
      <c r="C152" s="6">
        <v>13.7</v>
      </c>
      <c r="D152" s="5" t="s">
        <v>16</v>
      </c>
      <c r="K152" s="3"/>
      <c r="L152" s="27"/>
    </row>
    <row r="153">
      <c r="A153" s="4">
        <v>46107.0</v>
      </c>
      <c r="B153" s="5" t="s">
        <v>532</v>
      </c>
      <c r="C153" s="6">
        <v>6.1</v>
      </c>
      <c r="D153" s="5" t="s">
        <v>16</v>
      </c>
      <c r="K153" s="3"/>
      <c r="L153" s="27"/>
    </row>
    <row r="154">
      <c r="A154" s="4">
        <v>46107.0</v>
      </c>
      <c r="B154" s="5" t="s">
        <v>969</v>
      </c>
      <c r="C154" s="6">
        <v>50.0</v>
      </c>
      <c r="D154" s="5" t="s">
        <v>13</v>
      </c>
      <c r="K154" s="3"/>
      <c r="L154" s="27"/>
    </row>
    <row r="155">
      <c r="A155" s="4">
        <v>46106.0</v>
      </c>
      <c r="B155" s="5" t="s">
        <v>773</v>
      </c>
      <c r="C155" s="6">
        <v>74.61</v>
      </c>
      <c r="D155" s="5" t="s">
        <v>31</v>
      </c>
      <c r="K155" s="3"/>
      <c r="L155" s="27"/>
    </row>
    <row r="156">
      <c r="A156" s="4">
        <v>46104.0</v>
      </c>
      <c r="B156" s="5" t="s">
        <v>970</v>
      </c>
      <c r="C156" s="6">
        <v>68.5</v>
      </c>
      <c r="D156" s="5" t="s">
        <v>149</v>
      </c>
      <c r="K156" s="3"/>
      <c r="L156" s="27"/>
    </row>
    <row r="157">
      <c r="A157" s="4">
        <v>46104.0</v>
      </c>
      <c r="B157" s="5" t="s">
        <v>216</v>
      </c>
      <c r="C157" s="6">
        <v>47.83</v>
      </c>
      <c r="D157" s="5" t="s">
        <v>132</v>
      </c>
      <c r="K157" s="3"/>
      <c r="L157" s="27"/>
    </row>
    <row r="158">
      <c r="A158" s="4">
        <v>46104.0</v>
      </c>
      <c r="B158" s="5" t="s">
        <v>931</v>
      </c>
      <c r="C158" s="6">
        <v>32.44</v>
      </c>
      <c r="D158" s="5" t="s">
        <v>149</v>
      </c>
      <c r="K158" s="3"/>
      <c r="L158" s="27"/>
    </row>
    <row r="159">
      <c r="A159" s="4">
        <v>46103.0</v>
      </c>
      <c r="B159" s="5" t="s">
        <v>216</v>
      </c>
      <c r="C159" s="6">
        <v>45.99</v>
      </c>
      <c r="D159" s="5" t="s">
        <v>132</v>
      </c>
      <c r="K159" s="3"/>
      <c r="L159" s="27"/>
    </row>
    <row r="160">
      <c r="A160" s="4">
        <v>46103.0</v>
      </c>
      <c r="B160" s="5" t="s">
        <v>802</v>
      </c>
      <c r="C160" s="6">
        <v>51.0</v>
      </c>
      <c r="D160" s="5" t="s">
        <v>245</v>
      </c>
      <c r="K160" s="3"/>
      <c r="L160" s="27"/>
    </row>
    <row r="161">
      <c r="A161" s="4">
        <v>46103.0</v>
      </c>
      <c r="B161" s="5" t="s">
        <v>971</v>
      </c>
      <c r="C161" s="6">
        <v>11.32</v>
      </c>
      <c r="D161" s="5" t="s">
        <v>31</v>
      </c>
      <c r="K161" s="3"/>
      <c r="L161" s="27"/>
    </row>
    <row r="162">
      <c r="A162" s="4">
        <v>46103.0</v>
      </c>
      <c r="B162" s="5" t="s">
        <v>972</v>
      </c>
      <c r="C162" s="6">
        <v>39.98</v>
      </c>
      <c r="D162" s="5" t="s">
        <v>31</v>
      </c>
      <c r="K162" s="3"/>
      <c r="L162" s="27"/>
    </row>
    <row r="163">
      <c r="A163" s="4">
        <v>46103.0</v>
      </c>
      <c r="B163" s="5" t="s">
        <v>948</v>
      </c>
      <c r="C163" s="6">
        <v>43.0</v>
      </c>
      <c r="D163" s="5" t="s">
        <v>149</v>
      </c>
      <c r="K163" s="3"/>
      <c r="L163" s="27"/>
    </row>
    <row r="164">
      <c r="A164" s="4">
        <v>46103.0</v>
      </c>
      <c r="B164" s="5" t="s">
        <v>773</v>
      </c>
      <c r="C164" s="6">
        <v>8.58</v>
      </c>
      <c r="D164" s="5" t="s">
        <v>31</v>
      </c>
      <c r="K164" s="3"/>
      <c r="L164" s="27"/>
    </row>
    <row r="165">
      <c r="A165" s="4">
        <v>46103.0</v>
      </c>
      <c r="B165" s="5" t="s">
        <v>525</v>
      </c>
      <c r="C165" s="6">
        <v>66.0</v>
      </c>
      <c r="D165" s="5" t="s">
        <v>13</v>
      </c>
      <c r="K165" s="3"/>
      <c r="L165" s="27"/>
    </row>
    <row r="166">
      <c r="A166" s="4">
        <v>46102.0</v>
      </c>
      <c r="B166" s="5" t="s">
        <v>774</v>
      </c>
      <c r="C166" s="6">
        <v>14.99</v>
      </c>
      <c r="D166" s="5" t="s">
        <v>31</v>
      </c>
      <c r="K166" s="3"/>
      <c r="L166" s="27"/>
    </row>
    <row r="167">
      <c r="A167" s="4">
        <v>46102.0</v>
      </c>
      <c r="B167" s="5" t="s">
        <v>973</v>
      </c>
      <c r="C167" s="6">
        <v>15.0</v>
      </c>
      <c r="D167" s="5" t="s">
        <v>31</v>
      </c>
      <c r="K167" s="3"/>
      <c r="L167" s="27"/>
    </row>
    <row r="168">
      <c r="A168" s="4">
        <v>46102.0</v>
      </c>
      <c r="B168" s="5" t="s">
        <v>532</v>
      </c>
      <c r="C168" s="6">
        <v>12.0</v>
      </c>
      <c r="D168" s="5" t="s">
        <v>16</v>
      </c>
      <c r="K168" s="3"/>
      <c r="L168" s="27"/>
    </row>
    <row r="169">
      <c r="A169" s="4">
        <v>46102.0</v>
      </c>
      <c r="B169" s="5" t="s">
        <v>773</v>
      </c>
      <c r="C169" s="6">
        <v>24.15</v>
      </c>
      <c r="D169" s="5" t="s">
        <v>31</v>
      </c>
      <c r="K169" s="3"/>
      <c r="L169" s="27"/>
    </row>
    <row r="170">
      <c r="A170" s="4">
        <v>46101.0</v>
      </c>
      <c r="B170" s="5" t="s">
        <v>525</v>
      </c>
      <c r="C170" s="6">
        <v>39.0</v>
      </c>
      <c r="D170" s="5" t="s">
        <v>13</v>
      </c>
      <c r="K170" s="3"/>
      <c r="L170" s="27"/>
    </row>
    <row r="171">
      <c r="A171" s="4">
        <v>46101.0</v>
      </c>
      <c r="B171" s="5" t="s">
        <v>967</v>
      </c>
      <c r="C171" s="6">
        <v>4.17</v>
      </c>
      <c r="D171" s="5" t="s">
        <v>13</v>
      </c>
      <c r="K171" s="3"/>
      <c r="L171" s="27"/>
    </row>
    <row r="172">
      <c r="A172" s="4">
        <v>46100.0</v>
      </c>
      <c r="B172" s="5" t="s">
        <v>935</v>
      </c>
      <c r="C172" s="6">
        <v>219.05</v>
      </c>
      <c r="D172" s="5" t="s">
        <v>16</v>
      </c>
      <c r="K172" s="3"/>
      <c r="L172" s="27"/>
    </row>
    <row r="173">
      <c r="A173" s="4">
        <v>46100.0</v>
      </c>
      <c r="B173" s="5" t="s">
        <v>801</v>
      </c>
      <c r="C173" s="6">
        <v>2.5</v>
      </c>
      <c r="D173" s="5" t="s">
        <v>16</v>
      </c>
      <c r="K173" s="3"/>
      <c r="L173" s="27"/>
    </row>
    <row r="174">
      <c r="A174" s="4">
        <v>46100.0</v>
      </c>
      <c r="B174" s="5" t="s">
        <v>974</v>
      </c>
      <c r="C174" s="6">
        <v>43.51</v>
      </c>
      <c r="D174" s="5" t="s">
        <v>13</v>
      </c>
      <c r="K174" s="3"/>
      <c r="L174" s="27"/>
    </row>
    <row r="175">
      <c r="A175" s="4">
        <v>46100.0</v>
      </c>
      <c r="B175" s="5" t="s">
        <v>761</v>
      </c>
      <c r="C175" s="6">
        <v>31.0</v>
      </c>
      <c r="D175" s="5" t="s">
        <v>149</v>
      </c>
      <c r="K175" s="3"/>
      <c r="L175" s="27"/>
    </row>
    <row r="176">
      <c r="A176" s="4">
        <v>46099.0</v>
      </c>
      <c r="B176" s="5" t="s">
        <v>712</v>
      </c>
      <c r="C176" s="6">
        <v>64.88</v>
      </c>
      <c r="D176" s="5" t="s">
        <v>13</v>
      </c>
      <c r="K176" s="3"/>
      <c r="L176" s="27"/>
    </row>
    <row r="177">
      <c r="A177" s="27"/>
      <c r="C177" s="22"/>
      <c r="K177" s="3"/>
      <c r="L177" s="27"/>
    </row>
    <row r="178">
      <c r="A178" s="27"/>
      <c r="C178" s="22"/>
      <c r="K178" s="3"/>
      <c r="L178" s="27"/>
    </row>
    <row r="179">
      <c r="A179" s="27"/>
      <c r="C179" s="22"/>
      <c r="K179" s="3"/>
      <c r="L179" s="27"/>
    </row>
    <row r="180">
      <c r="A180" s="27"/>
      <c r="C180" s="22"/>
      <c r="K180" s="3"/>
      <c r="L180" s="27"/>
    </row>
    <row r="181">
      <c r="A181" s="27"/>
      <c r="C181" s="22"/>
      <c r="K181" s="3"/>
      <c r="L181" s="27"/>
    </row>
    <row r="182">
      <c r="A182" s="27"/>
      <c r="C182" s="22"/>
      <c r="K182" s="3"/>
      <c r="L182" s="27"/>
    </row>
    <row r="183">
      <c r="A183" s="27"/>
      <c r="C183" s="22"/>
      <c r="K183" s="3"/>
      <c r="L183" s="27"/>
    </row>
    <row r="184">
      <c r="A184" s="27"/>
      <c r="C184" s="22"/>
      <c r="K184" s="3"/>
      <c r="L184" s="27"/>
    </row>
    <row r="185">
      <c r="A185" s="27"/>
      <c r="C185" s="22"/>
      <c r="K185" s="3"/>
      <c r="L185" s="27"/>
    </row>
    <row r="186">
      <c r="A186" s="27"/>
      <c r="C186" s="22"/>
      <c r="K186" s="3"/>
      <c r="L186" s="27"/>
    </row>
    <row r="187">
      <c r="A187" s="27"/>
      <c r="C187" s="22"/>
      <c r="K187" s="3"/>
      <c r="L187" s="27"/>
    </row>
    <row r="188">
      <c r="A188" s="27"/>
      <c r="C188" s="22"/>
      <c r="K188" s="3"/>
      <c r="L188" s="27"/>
    </row>
    <row r="189">
      <c r="A189" s="27"/>
      <c r="C189" s="22"/>
      <c r="K189" s="3"/>
      <c r="L189" s="27"/>
    </row>
    <row r="190">
      <c r="A190" s="27"/>
      <c r="C190" s="22"/>
      <c r="K190" s="3"/>
      <c r="L190" s="27"/>
    </row>
    <row r="191">
      <c r="A191" s="27"/>
      <c r="C191" s="22"/>
      <c r="K191" s="3"/>
      <c r="L191" s="27"/>
    </row>
    <row r="192">
      <c r="A192" s="27"/>
      <c r="C192" s="22"/>
      <c r="K192" s="3"/>
      <c r="L192" s="27"/>
    </row>
    <row r="193">
      <c r="A193" s="27"/>
      <c r="C193" s="22"/>
      <c r="K193" s="3"/>
      <c r="L193" s="27"/>
    </row>
    <row r="194">
      <c r="A194" s="27"/>
      <c r="C194" s="22"/>
      <c r="K194" s="3"/>
      <c r="L194" s="27"/>
    </row>
    <row r="195">
      <c r="A195" s="27"/>
      <c r="C195" s="22"/>
      <c r="K195" s="3"/>
      <c r="L195" s="27"/>
    </row>
    <row r="196">
      <c r="A196" s="27"/>
      <c r="C196" s="22"/>
      <c r="K196" s="3"/>
      <c r="L196" s="27"/>
    </row>
    <row r="197">
      <c r="A197" s="27"/>
      <c r="C197" s="22"/>
      <c r="K197" s="3"/>
      <c r="L197" s="27"/>
    </row>
    <row r="198">
      <c r="A198" s="27"/>
      <c r="C198" s="22"/>
      <c r="K198" s="3"/>
      <c r="L198" s="27"/>
    </row>
    <row r="199">
      <c r="A199" s="27"/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A529" s="27"/>
      <c r="C529" s="22"/>
      <c r="K529" s="3"/>
      <c r="L529" s="27"/>
    </row>
    <row r="530">
      <c r="A530" s="27"/>
      <c r="C530" s="22"/>
      <c r="K530" s="3"/>
      <c r="L530" s="27"/>
    </row>
    <row r="531">
      <c r="A531" s="27"/>
      <c r="C531" s="22"/>
      <c r="K531" s="3"/>
      <c r="L531" s="27"/>
    </row>
    <row r="532">
      <c r="A532" s="27"/>
      <c r="C532" s="22"/>
      <c r="K532" s="3"/>
      <c r="L532" s="27"/>
    </row>
    <row r="533">
      <c r="A533" s="27"/>
      <c r="C533" s="22"/>
      <c r="K533" s="3"/>
      <c r="L533" s="27"/>
    </row>
    <row r="534">
      <c r="A534" s="27"/>
      <c r="C534" s="22"/>
      <c r="K534" s="3"/>
      <c r="L534" s="27"/>
    </row>
    <row r="535">
      <c r="A535" s="27"/>
      <c r="C535" s="22"/>
      <c r="K535" s="3"/>
      <c r="L535" s="27"/>
    </row>
    <row r="536">
      <c r="A536" s="27"/>
      <c r="C536" s="22"/>
      <c r="K536" s="3"/>
      <c r="L536" s="27"/>
    </row>
    <row r="537">
      <c r="A537" s="27"/>
      <c r="C537" s="22"/>
      <c r="K537" s="3"/>
      <c r="L537" s="27"/>
    </row>
    <row r="538">
      <c r="A538" s="27"/>
      <c r="C538" s="22"/>
      <c r="K538" s="3"/>
      <c r="L538" s="27"/>
    </row>
    <row r="539">
      <c r="A539" s="27"/>
      <c r="C539" s="22"/>
      <c r="K539" s="3"/>
      <c r="L539" s="27"/>
    </row>
    <row r="540">
      <c r="A540" s="27"/>
      <c r="C540" s="22"/>
      <c r="K540" s="3"/>
      <c r="L540" s="27"/>
    </row>
    <row r="541">
      <c r="A541" s="27"/>
      <c r="C541" s="22"/>
      <c r="K541" s="3"/>
      <c r="L541" s="27"/>
    </row>
    <row r="542">
      <c r="A542" s="27"/>
      <c r="C542" s="22"/>
      <c r="K542" s="3"/>
      <c r="L542" s="27"/>
    </row>
    <row r="543">
      <c r="A543" s="27"/>
      <c r="C543" s="22"/>
      <c r="K543" s="3"/>
      <c r="L543" s="27"/>
    </row>
    <row r="544">
      <c r="A544" s="27"/>
      <c r="C544" s="22"/>
      <c r="K544" s="3"/>
      <c r="L544" s="27"/>
    </row>
    <row r="545">
      <c r="A545" s="27"/>
      <c r="C545" s="22"/>
      <c r="K545" s="3"/>
      <c r="L545" s="27"/>
    </row>
    <row r="546">
      <c r="A546" s="27"/>
      <c r="C546" s="22"/>
      <c r="K546" s="3"/>
      <c r="L546" s="27"/>
    </row>
    <row r="547">
      <c r="A547" s="27"/>
      <c r="C547" s="22"/>
      <c r="K547" s="3"/>
      <c r="L547" s="27"/>
    </row>
    <row r="548">
      <c r="A548" s="27"/>
      <c r="C548" s="22"/>
      <c r="K548" s="3"/>
      <c r="L548" s="27"/>
    </row>
    <row r="549">
      <c r="A549" s="27"/>
      <c r="C549" s="22"/>
      <c r="K549" s="3"/>
      <c r="L549" s="27"/>
    </row>
    <row r="550">
      <c r="A550" s="27"/>
      <c r="C550" s="22"/>
      <c r="K550" s="3"/>
      <c r="L550" s="27"/>
    </row>
    <row r="551">
      <c r="A551" s="27"/>
      <c r="C551" s="22"/>
      <c r="K551" s="3"/>
      <c r="L551" s="27"/>
    </row>
    <row r="552">
      <c r="A552" s="27"/>
      <c r="C552" s="22"/>
      <c r="K552" s="3"/>
      <c r="L552" s="27"/>
    </row>
    <row r="553">
      <c r="A553" s="27"/>
      <c r="C553" s="22"/>
      <c r="K553" s="3"/>
      <c r="L553" s="27"/>
    </row>
    <row r="554">
      <c r="A554" s="27"/>
      <c r="C554" s="22"/>
      <c r="K554" s="3"/>
      <c r="L554" s="27"/>
    </row>
    <row r="555">
      <c r="A555" s="27"/>
      <c r="C555" s="22"/>
      <c r="K555" s="3"/>
      <c r="L555" s="27"/>
    </row>
    <row r="556">
      <c r="A556" s="27"/>
      <c r="C556" s="22"/>
      <c r="K556" s="3"/>
      <c r="L556" s="27"/>
    </row>
    <row r="557">
      <c r="A557" s="27"/>
      <c r="C557" s="22"/>
      <c r="K557" s="3"/>
      <c r="L557" s="27"/>
    </row>
    <row r="558">
      <c r="A558" s="27"/>
      <c r="C558" s="22"/>
      <c r="K558" s="3"/>
      <c r="L558" s="27"/>
    </row>
    <row r="559">
      <c r="A559" s="27"/>
      <c r="C559" s="22"/>
      <c r="K559" s="3"/>
      <c r="L559" s="27"/>
    </row>
    <row r="560">
      <c r="A560" s="27"/>
      <c r="C560" s="22"/>
      <c r="K560" s="3"/>
      <c r="L560" s="27"/>
    </row>
    <row r="561">
      <c r="A561" s="27"/>
      <c r="C561" s="22"/>
      <c r="K561" s="3"/>
      <c r="L561" s="27"/>
    </row>
    <row r="562">
      <c r="A562" s="27"/>
      <c r="C562" s="22"/>
      <c r="K562" s="3"/>
      <c r="L562" s="27"/>
    </row>
    <row r="563">
      <c r="A563" s="27"/>
      <c r="C563" s="22"/>
      <c r="K563" s="3"/>
      <c r="L563" s="27"/>
    </row>
    <row r="564">
      <c r="A564" s="27"/>
      <c r="C564" s="22"/>
      <c r="K564" s="3"/>
      <c r="L564" s="27"/>
    </row>
    <row r="565">
      <c r="A565" s="27"/>
      <c r="C565" s="22"/>
      <c r="K565" s="3"/>
      <c r="L565" s="27"/>
    </row>
    <row r="566">
      <c r="A566" s="27"/>
      <c r="C566" s="22"/>
      <c r="K566" s="3"/>
      <c r="L566" s="27"/>
    </row>
    <row r="567">
      <c r="A567" s="27"/>
      <c r="C567" s="22"/>
      <c r="K567" s="3"/>
      <c r="L567" s="27"/>
    </row>
    <row r="568">
      <c r="A568" s="27"/>
      <c r="C568" s="22"/>
      <c r="K568" s="3"/>
      <c r="L568" s="27"/>
    </row>
    <row r="569">
      <c r="A569" s="27"/>
      <c r="C569" s="22"/>
      <c r="K569" s="3"/>
      <c r="L569" s="27"/>
    </row>
    <row r="570">
      <c r="A570" s="27"/>
      <c r="C570" s="22"/>
      <c r="K570" s="3"/>
      <c r="L570" s="27"/>
    </row>
    <row r="571">
      <c r="A571" s="27"/>
      <c r="C571" s="22"/>
      <c r="K571" s="3"/>
      <c r="L571" s="27"/>
    </row>
    <row r="572">
      <c r="A572" s="27"/>
      <c r="C572" s="22"/>
      <c r="K572" s="3"/>
      <c r="L572" s="27"/>
    </row>
    <row r="573">
      <c r="A573" s="27"/>
      <c r="C573" s="22"/>
      <c r="K573" s="3"/>
      <c r="L573" s="27"/>
    </row>
    <row r="574">
      <c r="A574" s="27"/>
      <c r="C574" s="22"/>
      <c r="K574" s="3"/>
      <c r="L574" s="27"/>
    </row>
    <row r="575">
      <c r="A575" s="27"/>
      <c r="C575" s="22"/>
      <c r="K575" s="3"/>
      <c r="L575" s="27"/>
    </row>
    <row r="576">
      <c r="A576" s="27"/>
      <c r="C576" s="22"/>
      <c r="K576" s="3"/>
      <c r="L576" s="27"/>
    </row>
    <row r="577">
      <c r="A577" s="27"/>
      <c r="C577" s="22"/>
      <c r="K577" s="3"/>
      <c r="L577" s="27"/>
    </row>
    <row r="578">
      <c r="A578" s="27"/>
      <c r="C578" s="22"/>
      <c r="K578" s="3"/>
      <c r="L578" s="27"/>
    </row>
    <row r="579">
      <c r="A579" s="27"/>
      <c r="C579" s="22"/>
      <c r="K579" s="3"/>
      <c r="L579" s="27"/>
    </row>
    <row r="580">
      <c r="A580" s="27"/>
      <c r="C580" s="22"/>
      <c r="K580" s="3"/>
      <c r="L580" s="27"/>
    </row>
    <row r="581">
      <c r="A581" s="27"/>
      <c r="C581" s="22"/>
      <c r="K581" s="3"/>
      <c r="L581" s="27"/>
    </row>
    <row r="582">
      <c r="A582" s="27"/>
      <c r="C582" s="22"/>
      <c r="K582" s="3"/>
      <c r="L582" s="27"/>
    </row>
    <row r="583">
      <c r="A583" s="27"/>
      <c r="C583" s="22"/>
      <c r="K583" s="3"/>
      <c r="L583" s="27"/>
    </row>
    <row r="584">
      <c r="A584" s="27"/>
      <c r="C584" s="22"/>
      <c r="K584" s="3"/>
      <c r="L584" s="27"/>
    </row>
    <row r="585">
      <c r="A585" s="27"/>
      <c r="C585" s="22"/>
      <c r="K585" s="3"/>
      <c r="L585" s="27"/>
    </row>
    <row r="586">
      <c r="A586" s="27"/>
      <c r="C586" s="22"/>
      <c r="K586" s="3"/>
      <c r="L586" s="27"/>
    </row>
    <row r="587">
      <c r="A587" s="27"/>
      <c r="C587" s="22"/>
      <c r="K587" s="3"/>
      <c r="L587" s="27"/>
    </row>
    <row r="588">
      <c r="A588" s="27"/>
      <c r="C588" s="22"/>
      <c r="K588" s="3"/>
      <c r="L588" s="27"/>
    </row>
    <row r="589">
      <c r="A589" s="27"/>
      <c r="C589" s="22"/>
      <c r="K589" s="3"/>
      <c r="L589" s="27"/>
    </row>
    <row r="590">
      <c r="A590" s="27"/>
      <c r="C590" s="22"/>
      <c r="K590" s="3"/>
      <c r="L590" s="27"/>
    </row>
    <row r="591">
      <c r="A591" s="27"/>
      <c r="C591" s="22"/>
      <c r="K591" s="3"/>
      <c r="L591" s="27"/>
    </row>
    <row r="592">
      <c r="A592" s="27"/>
      <c r="C592" s="22"/>
      <c r="K592" s="3"/>
      <c r="L592" s="27"/>
    </row>
    <row r="593">
      <c r="A593" s="27"/>
      <c r="C593" s="22"/>
      <c r="K593" s="3"/>
      <c r="L593" s="27"/>
    </row>
    <row r="594">
      <c r="A594" s="27"/>
      <c r="C594" s="22"/>
      <c r="K594" s="3"/>
      <c r="L594" s="27"/>
    </row>
    <row r="595">
      <c r="A595" s="27"/>
      <c r="C595" s="22"/>
      <c r="K595" s="3"/>
      <c r="L595" s="27"/>
    </row>
    <row r="596">
      <c r="A596" s="27"/>
      <c r="C596" s="22"/>
      <c r="K596" s="3"/>
      <c r="L596" s="27"/>
    </row>
    <row r="597">
      <c r="A597" s="27"/>
      <c r="C597" s="22"/>
      <c r="K597" s="3"/>
      <c r="L597" s="27"/>
    </row>
    <row r="598">
      <c r="A598" s="27"/>
      <c r="C598" s="22"/>
      <c r="K598" s="3"/>
      <c r="L598" s="27"/>
    </row>
    <row r="599">
      <c r="A599" s="27"/>
      <c r="C599" s="22"/>
      <c r="K599" s="3"/>
      <c r="L599" s="27"/>
    </row>
    <row r="600">
      <c r="A600" s="27"/>
      <c r="C600" s="22"/>
      <c r="K600" s="3"/>
      <c r="L600" s="27"/>
    </row>
    <row r="601">
      <c r="A601" s="27"/>
      <c r="C601" s="22"/>
      <c r="K601" s="3"/>
      <c r="L601" s="27"/>
    </row>
    <row r="602">
      <c r="A602" s="27"/>
      <c r="C602" s="22"/>
      <c r="K602" s="3"/>
      <c r="L602" s="27"/>
    </row>
    <row r="603">
      <c r="A603" s="27"/>
      <c r="C603" s="22"/>
      <c r="K603" s="3"/>
      <c r="L603" s="27"/>
    </row>
    <row r="604">
      <c r="A604" s="27"/>
      <c r="C604" s="22"/>
      <c r="K604" s="3"/>
      <c r="L604" s="27"/>
    </row>
    <row r="605">
      <c r="A605" s="27"/>
      <c r="C605" s="22"/>
      <c r="K605" s="3"/>
      <c r="L605" s="27"/>
    </row>
    <row r="606">
      <c r="A606" s="27"/>
      <c r="C606" s="22"/>
      <c r="K606" s="3"/>
      <c r="L606" s="27"/>
    </row>
    <row r="607">
      <c r="A607" s="27"/>
      <c r="C607" s="22"/>
      <c r="K607" s="3"/>
      <c r="L607" s="27"/>
    </row>
    <row r="608">
      <c r="A608" s="27"/>
      <c r="C608" s="22"/>
      <c r="K608" s="3"/>
      <c r="L608" s="27"/>
    </row>
    <row r="609">
      <c r="A609" s="27"/>
      <c r="C609" s="22"/>
      <c r="K609" s="3"/>
      <c r="L609" s="27"/>
    </row>
    <row r="610">
      <c r="A610" s="27"/>
      <c r="C610" s="22"/>
      <c r="K610" s="3"/>
      <c r="L610" s="27"/>
    </row>
    <row r="611">
      <c r="A611" s="27"/>
      <c r="C611" s="22"/>
      <c r="K611" s="3"/>
      <c r="L611" s="27"/>
    </row>
    <row r="612">
      <c r="A612" s="27"/>
      <c r="C612" s="22"/>
      <c r="K612" s="3"/>
      <c r="L612" s="27"/>
    </row>
    <row r="613">
      <c r="A613" s="27"/>
      <c r="C613" s="22"/>
      <c r="K613" s="3"/>
      <c r="L613" s="27"/>
    </row>
    <row r="614">
      <c r="A614" s="27"/>
      <c r="C614" s="22"/>
      <c r="K614" s="3"/>
      <c r="L614" s="27"/>
    </row>
    <row r="615">
      <c r="A615" s="27"/>
      <c r="C615" s="22"/>
      <c r="K615" s="3"/>
      <c r="L615" s="27"/>
    </row>
    <row r="616">
      <c r="A616" s="27"/>
      <c r="C616" s="22"/>
      <c r="K616" s="3"/>
      <c r="L616" s="27"/>
    </row>
    <row r="617">
      <c r="A617" s="27"/>
      <c r="C617" s="22"/>
      <c r="K617" s="3"/>
      <c r="L617" s="27"/>
    </row>
    <row r="618">
      <c r="A618" s="27"/>
      <c r="C618" s="22"/>
      <c r="K618" s="3"/>
      <c r="L618" s="27"/>
    </row>
    <row r="619">
      <c r="A619" s="27"/>
      <c r="C619" s="22"/>
      <c r="K619" s="3"/>
      <c r="L619" s="27"/>
    </row>
    <row r="620">
      <c r="A620" s="27"/>
      <c r="C620" s="22"/>
      <c r="K620" s="3"/>
      <c r="L620" s="27"/>
    </row>
    <row r="621">
      <c r="A621" s="27"/>
      <c r="C621" s="22"/>
      <c r="K621" s="3"/>
      <c r="L621" s="27"/>
    </row>
    <row r="622">
      <c r="A622" s="27"/>
      <c r="C622" s="22"/>
      <c r="K622" s="3"/>
      <c r="L622" s="27"/>
    </row>
    <row r="623">
      <c r="A623" s="27"/>
      <c r="C623" s="22"/>
      <c r="K623" s="3"/>
      <c r="L623" s="27"/>
    </row>
    <row r="624">
      <c r="A624" s="27"/>
      <c r="C624" s="22"/>
      <c r="K624" s="3"/>
      <c r="L624" s="27"/>
    </row>
    <row r="625">
      <c r="A625" s="27"/>
      <c r="C625" s="22"/>
      <c r="K625" s="3"/>
      <c r="L625" s="27"/>
    </row>
    <row r="626">
      <c r="A626" s="27"/>
      <c r="C626" s="22"/>
      <c r="K626" s="3"/>
      <c r="L626" s="27"/>
    </row>
    <row r="627">
      <c r="A627" s="27"/>
      <c r="C627" s="22"/>
      <c r="K627" s="3"/>
      <c r="L627" s="27"/>
    </row>
    <row r="628">
      <c r="A628" s="27"/>
      <c r="C628" s="22"/>
      <c r="K628" s="3"/>
      <c r="L628" s="27"/>
    </row>
    <row r="629">
      <c r="A629" s="27"/>
      <c r="C629" s="22"/>
      <c r="K629" s="3"/>
      <c r="L629" s="27"/>
    </row>
    <row r="630">
      <c r="A630" s="27"/>
      <c r="C630" s="22"/>
      <c r="K630" s="3"/>
      <c r="L630" s="27"/>
    </row>
    <row r="631">
      <c r="A631" s="27"/>
      <c r="C631" s="22"/>
      <c r="K631" s="3"/>
      <c r="L631" s="27"/>
    </row>
    <row r="632">
      <c r="A632" s="27"/>
      <c r="C632" s="22"/>
      <c r="K632" s="3"/>
      <c r="L632" s="27"/>
    </row>
    <row r="633">
      <c r="A633" s="27"/>
      <c r="C633" s="22"/>
      <c r="K633" s="3"/>
      <c r="L633" s="27"/>
    </row>
    <row r="634">
      <c r="A634" s="27"/>
      <c r="C634" s="22"/>
      <c r="K634" s="3"/>
      <c r="L634" s="27"/>
    </row>
    <row r="635">
      <c r="A635" s="27"/>
      <c r="C635" s="22"/>
      <c r="K635" s="3"/>
      <c r="L635" s="27"/>
    </row>
    <row r="636">
      <c r="A636" s="27"/>
      <c r="C636" s="22"/>
      <c r="K636" s="3"/>
      <c r="L636" s="27"/>
    </row>
    <row r="637">
      <c r="A637" s="27"/>
      <c r="C637" s="22"/>
      <c r="K637" s="3"/>
      <c r="L637" s="27"/>
    </row>
    <row r="638">
      <c r="A638" s="27"/>
      <c r="C638" s="22"/>
      <c r="K638" s="3"/>
      <c r="L638" s="27"/>
    </row>
    <row r="639">
      <c r="C639" s="22"/>
      <c r="K639" s="3"/>
      <c r="L639" s="27"/>
    </row>
    <row r="640">
      <c r="C640" s="22"/>
      <c r="K640" s="3"/>
      <c r="L640" s="27"/>
    </row>
    <row r="641">
      <c r="C641" s="22"/>
      <c r="K641" s="3"/>
      <c r="L641" s="27"/>
    </row>
    <row r="642">
      <c r="C642" s="22"/>
      <c r="K642" s="3"/>
      <c r="L642" s="27"/>
    </row>
    <row r="643">
      <c r="C643" s="22"/>
      <c r="K643" s="3"/>
      <c r="L643" s="27"/>
    </row>
    <row r="644">
      <c r="C644" s="22"/>
      <c r="K644" s="3"/>
      <c r="L644" s="27"/>
    </row>
    <row r="645">
      <c r="C645" s="22"/>
      <c r="K645" s="3"/>
      <c r="L645" s="27"/>
    </row>
    <row r="646">
      <c r="C646" s="22"/>
      <c r="K646" s="3"/>
      <c r="L646" s="27"/>
    </row>
    <row r="647">
      <c r="C647" s="22"/>
      <c r="K647" s="3"/>
      <c r="L647" s="27"/>
    </row>
    <row r="648">
      <c r="C648" s="22"/>
      <c r="K648" s="3"/>
      <c r="L648" s="27"/>
    </row>
    <row r="649">
      <c r="C649" s="22"/>
      <c r="K649" s="3"/>
      <c r="L649" s="27"/>
    </row>
    <row r="650">
      <c r="C650" s="22"/>
      <c r="K650" s="3"/>
      <c r="L650" s="27"/>
    </row>
    <row r="651">
      <c r="C651" s="22"/>
      <c r="K651" s="3"/>
      <c r="L651" s="27"/>
    </row>
    <row r="652">
      <c r="C652" s="22"/>
      <c r="K652" s="3"/>
      <c r="L652" s="27"/>
    </row>
    <row r="653">
      <c r="C653" s="22"/>
      <c r="K653" s="3"/>
      <c r="L653" s="27"/>
    </row>
    <row r="654">
      <c r="C654" s="22"/>
      <c r="K654" s="3"/>
      <c r="L654" s="27"/>
    </row>
    <row r="655">
      <c r="C655" s="22"/>
      <c r="K655" s="3"/>
      <c r="L655" s="27"/>
    </row>
    <row r="656">
      <c r="C656" s="22"/>
      <c r="K656" s="3"/>
      <c r="L656" s="27"/>
    </row>
    <row r="657">
      <c r="C657" s="22"/>
      <c r="K657" s="3"/>
      <c r="L657" s="27"/>
    </row>
    <row r="658">
      <c r="C658" s="22"/>
      <c r="K658" s="3"/>
      <c r="L658" s="27"/>
    </row>
    <row r="659">
      <c r="C659" s="22"/>
      <c r="K659" s="3"/>
      <c r="L659" s="27"/>
    </row>
    <row r="660">
      <c r="C660" s="22"/>
      <c r="K660" s="3"/>
      <c r="L660" s="27"/>
    </row>
    <row r="661">
      <c r="C661" s="22"/>
      <c r="K661" s="3"/>
      <c r="L661" s="27"/>
    </row>
    <row r="662">
      <c r="C662" s="22"/>
      <c r="K662" s="3"/>
      <c r="L662" s="27"/>
    </row>
    <row r="663">
      <c r="C663" s="22"/>
      <c r="K663" s="3"/>
      <c r="L663" s="27"/>
    </row>
    <row r="664">
      <c r="C664" s="22"/>
      <c r="K664" s="3"/>
      <c r="L664" s="27"/>
    </row>
    <row r="665">
      <c r="C665" s="22"/>
      <c r="K665" s="3"/>
      <c r="L665" s="27"/>
    </row>
    <row r="666">
      <c r="C666" s="22"/>
      <c r="K666" s="3"/>
      <c r="L666" s="27"/>
    </row>
    <row r="667">
      <c r="C667" s="22"/>
      <c r="K667" s="3"/>
      <c r="L667" s="27"/>
    </row>
    <row r="668">
      <c r="C668" s="22"/>
      <c r="K668" s="3"/>
      <c r="L668" s="27"/>
    </row>
    <row r="669">
      <c r="C669" s="22"/>
      <c r="K669" s="3"/>
      <c r="L669" s="27"/>
    </row>
    <row r="670">
      <c r="C670" s="22"/>
      <c r="K670" s="3"/>
      <c r="L670" s="27"/>
    </row>
    <row r="671">
      <c r="C671" s="22"/>
      <c r="K671" s="3"/>
      <c r="L671" s="27"/>
    </row>
    <row r="672">
      <c r="C672" s="22"/>
      <c r="K672" s="3"/>
      <c r="L672" s="27"/>
    </row>
    <row r="673">
      <c r="C673" s="22"/>
      <c r="K673" s="3"/>
      <c r="L673" s="27"/>
    </row>
    <row r="674">
      <c r="C674" s="22"/>
      <c r="K674" s="3"/>
      <c r="L674" s="27"/>
    </row>
    <row r="675">
      <c r="C675" s="22"/>
      <c r="K675" s="3"/>
      <c r="L675" s="27"/>
    </row>
    <row r="676">
      <c r="C676" s="22"/>
      <c r="K676" s="3"/>
      <c r="L676" s="27"/>
    </row>
    <row r="677">
      <c r="C677" s="22"/>
      <c r="K677" s="3"/>
      <c r="L677" s="27"/>
    </row>
    <row r="678">
      <c r="C678" s="22"/>
      <c r="K678" s="3"/>
      <c r="L678" s="27"/>
    </row>
    <row r="679">
      <c r="C679" s="22"/>
      <c r="K679" s="3"/>
      <c r="L679" s="27"/>
    </row>
    <row r="680">
      <c r="C680" s="22"/>
      <c r="K680" s="3"/>
      <c r="L680" s="27"/>
    </row>
    <row r="681">
      <c r="C681" s="22"/>
      <c r="K681" s="3"/>
      <c r="L681" s="27"/>
    </row>
    <row r="682">
      <c r="C682" s="22"/>
      <c r="K682" s="3"/>
      <c r="L682" s="27"/>
    </row>
    <row r="683">
      <c r="C683" s="22"/>
      <c r="K683" s="3"/>
      <c r="L683" s="27"/>
    </row>
    <row r="684">
      <c r="C684" s="22"/>
      <c r="K684" s="3"/>
      <c r="L684" s="27"/>
    </row>
    <row r="685">
      <c r="C685" s="22"/>
      <c r="K685" s="3"/>
      <c r="L685" s="27"/>
    </row>
    <row r="686">
      <c r="C686" s="22"/>
      <c r="K686" s="3"/>
      <c r="L686" s="27"/>
    </row>
    <row r="687">
      <c r="C687" s="22"/>
      <c r="K687" s="3"/>
      <c r="L687" s="27"/>
    </row>
    <row r="688">
      <c r="C688" s="22"/>
      <c r="K688" s="3"/>
      <c r="L688" s="27"/>
    </row>
    <row r="689">
      <c r="C689" s="22"/>
      <c r="K689" s="3"/>
      <c r="L689" s="27"/>
    </row>
    <row r="690">
      <c r="C690" s="22"/>
      <c r="K690" s="3"/>
      <c r="L690" s="27"/>
    </row>
    <row r="691">
      <c r="C691" s="22"/>
      <c r="K691" s="3"/>
      <c r="L691" s="27"/>
    </row>
    <row r="692">
      <c r="C692" s="22"/>
      <c r="K692" s="3"/>
      <c r="L692" s="27"/>
    </row>
    <row r="693">
      <c r="C693" s="22"/>
      <c r="K693" s="3"/>
      <c r="L693" s="27"/>
    </row>
    <row r="694">
      <c r="C694" s="22"/>
      <c r="K694" s="3"/>
      <c r="L694" s="27"/>
    </row>
    <row r="695">
      <c r="C695" s="22"/>
      <c r="K695" s="3"/>
      <c r="L695" s="27"/>
    </row>
    <row r="696">
      <c r="C696" s="22"/>
      <c r="K696" s="3"/>
      <c r="L696" s="27"/>
    </row>
    <row r="697">
      <c r="C697" s="22"/>
      <c r="K697" s="3"/>
      <c r="L697" s="27"/>
    </row>
    <row r="698">
      <c r="C698" s="22"/>
      <c r="K698" s="3"/>
      <c r="L698" s="27"/>
    </row>
    <row r="699">
      <c r="K699" s="3"/>
      <c r="L699" s="27"/>
    </row>
    <row r="700">
      <c r="K700" s="3"/>
      <c r="L700" s="27"/>
    </row>
    <row r="701">
      <c r="K701" s="3"/>
      <c r="L701" s="27"/>
    </row>
    <row r="702">
      <c r="K702" s="3"/>
      <c r="L702" s="27"/>
    </row>
    <row r="703">
      <c r="K703" s="3"/>
      <c r="L703" s="27"/>
    </row>
    <row r="704">
      <c r="K704" s="3"/>
      <c r="L704" s="27"/>
    </row>
    <row r="705">
      <c r="K705" s="3"/>
      <c r="L705" s="27"/>
    </row>
    <row r="706">
      <c r="K706" s="3"/>
      <c r="L706" s="27"/>
    </row>
    <row r="707">
      <c r="K707" s="3"/>
      <c r="L707" s="27"/>
    </row>
    <row r="708">
      <c r="K708" s="3"/>
      <c r="L708" s="27"/>
    </row>
    <row r="709">
      <c r="K709" s="3"/>
      <c r="L709" s="27"/>
    </row>
    <row r="710">
      <c r="K710" s="3"/>
      <c r="L710" s="27"/>
    </row>
    <row r="711">
      <c r="K711" s="3"/>
      <c r="L711" s="27"/>
    </row>
    <row r="712">
      <c r="K712" s="3"/>
      <c r="L712" s="27"/>
    </row>
    <row r="713">
      <c r="K713" s="3"/>
      <c r="L713" s="27"/>
    </row>
    <row r="714">
      <c r="K714" s="3"/>
      <c r="L714" s="27"/>
    </row>
    <row r="715">
      <c r="K715" s="3"/>
      <c r="L715" s="27"/>
    </row>
    <row r="716">
      <c r="K716" s="3"/>
      <c r="L716" s="27"/>
    </row>
    <row r="717">
      <c r="K717" s="3"/>
      <c r="L717" s="27"/>
    </row>
    <row r="718">
      <c r="K718" s="3"/>
      <c r="L718" s="27"/>
    </row>
    <row r="719">
      <c r="K719" s="3"/>
      <c r="L719" s="27"/>
    </row>
    <row r="720">
      <c r="K720" s="3"/>
      <c r="L720" s="27"/>
    </row>
    <row r="721">
      <c r="K721" s="3"/>
      <c r="L721" s="27"/>
    </row>
    <row r="722">
      <c r="K722" s="3"/>
      <c r="L722" s="27"/>
    </row>
    <row r="723">
      <c r="K723" s="3"/>
      <c r="L723" s="27"/>
    </row>
    <row r="724">
      <c r="K724" s="3"/>
      <c r="L724" s="27"/>
    </row>
    <row r="725">
      <c r="K725" s="3"/>
      <c r="L725" s="27"/>
    </row>
    <row r="726">
      <c r="K726" s="3"/>
      <c r="L726" s="27"/>
    </row>
    <row r="727">
      <c r="K727" s="3"/>
      <c r="L727" s="27"/>
    </row>
    <row r="728">
      <c r="K728" s="3"/>
      <c r="L728" s="27"/>
    </row>
    <row r="729">
      <c r="K729" s="3"/>
      <c r="L729" s="27"/>
    </row>
    <row r="730">
      <c r="K730" s="3"/>
      <c r="L730" s="27"/>
    </row>
    <row r="731">
      <c r="K731" s="3"/>
      <c r="L731" s="27"/>
    </row>
    <row r="732">
      <c r="K732" s="3"/>
      <c r="L732" s="27"/>
    </row>
    <row r="733">
      <c r="K733" s="3"/>
      <c r="L733" s="27"/>
    </row>
    <row r="734">
      <c r="K734" s="3"/>
      <c r="L734" s="27"/>
    </row>
    <row r="735">
      <c r="K735" s="3"/>
      <c r="L735" s="27"/>
    </row>
    <row r="736">
      <c r="K736" s="3"/>
      <c r="L736" s="27"/>
    </row>
    <row r="737">
      <c r="K737" s="3"/>
      <c r="L737" s="27"/>
    </row>
    <row r="738">
      <c r="K738" s="3"/>
      <c r="L738" s="27"/>
    </row>
    <row r="739">
      <c r="K739" s="3"/>
      <c r="L739" s="27"/>
    </row>
    <row r="740">
      <c r="K740" s="3"/>
      <c r="L740" s="27"/>
    </row>
    <row r="741">
      <c r="K741" s="3"/>
      <c r="L741" s="27"/>
    </row>
    <row r="742">
      <c r="K742" s="3"/>
      <c r="L742" s="27"/>
    </row>
    <row r="743">
      <c r="K743" s="3"/>
      <c r="L743" s="27"/>
    </row>
    <row r="744">
      <c r="K744" s="3"/>
      <c r="L744" s="27"/>
    </row>
    <row r="745">
      <c r="K745" s="3"/>
      <c r="L745" s="27"/>
    </row>
    <row r="746">
      <c r="K746" s="3"/>
      <c r="L746" s="27"/>
    </row>
    <row r="747">
      <c r="K747" s="3"/>
      <c r="L747" s="27"/>
    </row>
    <row r="748">
      <c r="K748" s="3"/>
      <c r="L748" s="27"/>
    </row>
    <row r="749">
      <c r="K749" s="3"/>
      <c r="L749" s="27"/>
    </row>
    <row r="750">
      <c r="K750" s="3"/>
      <c r="L750" s="27"/>
    </row>
    <row r="751">
      <c r="K751" s="3"/>
      <c r="L751" s="27"/>
    </row>
    <row r="752">
      <c r="K752" s="3"/>
      <c r="L752" s="27"/>
    </row>
    <row r="753">
      <c r="K753" s="3"/>
      <c r="L753" s="27"/>
    </row>
    <row r="754">
      <c r="K754" s="3"/>
      <c r="L754" s="27"/>
    </row>
    <row r="755">
      <c r="K755" s="3"/>
      <c r="L755" s="27"/>
    </row>
    <row r="756">
      <c r="K756" s="3"/>
      <c r="L756" s="27"/>
    </row>
    <row r="757">
      <c r="K757" s="3"/>
      <c r="L757" s="27"/>
    </row>
    <row r="758">
      <c r="K758" s="3"/>
      <c r="L758" s="27"/>
    </row>
    <row r="759">
      <c r="K759" s="3"/>
      <c r="L759" s="27"/>
    </row>
    <row r="760">
      <c r="K760" s="3"/>
      <c r="L760" s="27"/>
    </row>
    <row r="761">
      <c r="K761" s="3"/>
      <c r="L761" s="27"/>
    </row>
    <row r="762">
      <c r="K762" s="3"/>
      <c r="L762" s="27"/>
    </row>
    <row r="763">
      <c r="K763" s="3"/>
      <c r="L763" s="27"/>
    </row>
    <row r="764">
      <c r="K764" s="3"/>
      <c r="L764" s="27"/>
    </row>
    <row r="765">
      <c r="K765" s="3"/>
      <c r="L765" s="27"/>
    </row>
    <row r="766">
      <c r="K766" s="3"/>
      <c r="L766" s="27"/>
    </row>
    <row r="767">
      <c r="K767" s="3"/>
      <c r="L767" s="27"/>
    </row>
    <row r="768">
      <c r="K768" s="3"/>
      <c r="L768" s="27"/>
    </row>
    <row r="769">
      <c r="K769" s="3"/>
      <c r="L769" s="27"/>
    </row>
    <row r="770">
      <c r="K770" s="3"/>
      <c r="L770" s="27"/>
    </row>
    <row r="771">
      <c r="K771" s="3"/>
      <c r="L771" s="27"/>
    </row>
    <row r="772">
      <c r="K772" s="3"/>
      <c r="L772" s="27"/>
    </row>
    <row r="773">
      <c r="K773" s="3"/>
      <c r="L773" s="27"/>
    </row>
    <row r="774">
      <c r="K774" s="3"/>
      <c r="L774" s="27"/>
    </row>
    <row r="775">
      <c r="K775" s="3"/>
      <c r="L775" s="27"/>
    </row>
    <row r="776">
      <c r="K776" s="3"/>
      <c r="L776" s="27"/>
    </row>
    <row r="777">
      <c r="K777" s="3"/>
      <c r="L777" s="27"/>
    </row>
    <row r="778">
      <c r="K778" s="3"/>
      <c r="L778" s="27"/>
    </row>
    <row r="779">
      <c r="K779" s="3"/>
      <c r="L779" s="27"/>
    </row>
    <row r="780">
      <c r="K780" s="3"/>
      <c r="L780" s="27"/>
    </row>
    <row r="781">
      <c r="K781" s="3"/>
      <c r="L781" s="27"/>
    </row>
    <row r="782">
      <c r="K782" s="3"/>
      <c r="L782" s="27"/>
    </row>
    <row r="783">
      <c r="K783" s="3"/>
      <c r="L783" s="27"/>
    </row>
    <row r="784">
      <c r="K784" s="3"/>
      <c r="L784" s="27"/>
    </row>
    <row r="785">
      <c r="K785" s="3"/>
      <c r="L785" s="27"/>
    </row>
    <row r="786">
      <c r="K786" s="3"/>
      <c r="L786" s="27"/>
    </row>
    <row r="787">
      <c r="K787" s="3"/>
      <c r="L787" s="27"/>
    </row>
    <row r="788">
      <c r="K788" s="3"/>
      <c r="L788" s="27"/>
    </row>
    <row r="789">
      <c r="K789" s="3"/>
      <c r="L789" s="27"/>
    </row>
    <row r="790">
      <c r="K790" s="3"/>
      <c r="L790" s="27"/>
    </row>
    <row r="791">
      <c r="K791" s="3"/>
      <c r="L791" s="27"/>
    </row>
    <row r="792">
      <c r="K792" s="3"/>
      <c r="L792" s="27"/>
    </row>
    <row r="793">
      <c r="K793" s="3"/>
      <c r="L793" s="27"/>
    </row>
    <row r="794">
      <c r="K794" s="3"/>
      <c r="L794" s="27"/>
    </row>
    <row r="795">
      <c r="K795" s="3"/>
      <c r="L795" s="27"/>
    </row>
    <row r="796">
      <c r="K796" s="3"/>
      <c r="L796" s="27"/>
    </row>
    <row r="797">
      <c r="K797" s="3"/>
      <c r="L797" s="27"/>
    </row>
    <row r="798">
      <c r="K798" s="3"/>
      <c r="L798" s="27"/>
    </row>
    <row r="799">
      <c r="K799" s="3"/>
      <c r="L799" s="27"/>
    </row>
    <row r="800">
      <c r="K800" s="3"/>
      <c r="L800" s="27"/>
    </row>
    <row r="801">
      <c r="K801" s="3"/>
      <c r="L801" s="27"/>
    </row>
    <row r="802">
      <c r="K802" s="3"/>
      <c r="L802" s="27"/>
    </row>
    <row r="803">
      <c r="K803" s="3"/>
      <c r="L803" s="27"/>
    </row>
    <row r="804">
      <c r="K804" s="3"/>
      <c r="L804" s="27"/>
    </row>
    <row r="805">
      <c r="K805" s="3"/>
      <c r="L805" s="27"/>
    </row>
    <row r="806">
      <c r="K806" s="3"/>
      <c r="L806" s="27"/>
    </row>
    <row r="807">
      <c r="K807" s="3"/>
      <c r="L807" s="27"/>
    </row>
    <row r="808">
      <c r="K808" s="3"/>
      <c r="L808" s="27"/>
    </row>
    <row r="809">
      <c r="K809" s="3"/>
      <c r="L809" s="27"/>
    </row>
    <row r="810">
      <c r="K810" s="3"/>
      <c r="L810" s="27"/>
    </row>
    <row r="811">
      <c r="K811" s="3"/>
      <c r="L811" s="27"/>
    </row>
    <row r="812">
      <c r="K812" s="3"/>
      <c r="L812" s="27"/>
    </row>
    <row r="813">
      <c r="K813" s="3"/>
      <c r="L813" s="27"/>
    </row>
    <row r="814">
      <c r="K814" s="3"/>
      <c r="L814" s="27"/>
    </row>
    <row r="815">
      <c r="K815" s="3"/>
      <c r="L815" s="27"/>
    </row>
    <row r="816">
      <c r="K816" s="3"/>
      <c r="L816" s="27"/>
    </row>
    <row r="817">
      <c r="K817" s="3"/>
      <c r="L817" s="27"/>
    </row>
    <row r="818">
      <c r="K818" s="3"/>
      <c r="L818" s="27"/>
    </row>
    <row r="819">
      <c r="K819" s="3"/>
      <c r="L819" s="27"/>
    </row>
    <row r="820">
      <c r="K820" s="3"/>
      <c r="L820" s="27"/>
    </row>
    <row r="821">
      <c r="K821" s="3"/>
      <c r="L821" s="27"/>
    </row>
    <row r="822">
      <c r="K822" s="3"/>
      <c r="L822" s="27"/>
    </row>
    <row r="823">
      <c r="K823" s="3"/>
      <c r="L823" s="27"/>
    </row>
    <row r="824">
      <c r="K824" s="3"/>
      <c r="L824" s="27"/>
    </row>
    <row r="825">
      <c r="K825" s="3"/>
      <c r="L825" s="27"/>
    </row>
    <row r="826">
      <c r="K826" s="3"/>
      <c r="L826" s="27"/>
    </row>
    <row r="827">
      <c r="K827" s="3"/>
      <c r="L827" s="27"/>
    </row>
    <row r="828">
      <c r="K828" s="3"/>
      <c r="L828" s="27"/>
    </row>
    <row r="829">
      <c r="K829" s="3"/>
      <c r="L829" s="27"/>
    </row>
    <row r="830">
      <c r="K830" s="3"/>
      <c r="L830" s="27"/>
    </row>
    <row r="831">
      <c r="K831" s="3"/>
      <c r="L831" s="27"/>
    </row>
    <row r="832">
      <c r="K832" s="3"/>
      <c r="L832" s="27"/>
    </row>
    <row r="833">
      <c r="K833" s="3"/>
      <c r="L833" s="27"/>
    </row>
    <row r="834">
      <c r="K834" s="3"/>
      <c r="L834" s="27"/>
    </row>
    <row r="835">
      <c r="K835" s="3"/>
      <c r="L835" s="27"/>
    </row>
    <row r="836">
      <c r="K836" s="3"/>
      <c r="L836" s="27"/>
    </row>
    <row r="837">
      <c r="K837" s="3"/>
      <c r="L837" s="27"/>
    </row>
    <row r="838">
      <c r="K838" s="3"/>
      <c r="L838" s="27"/>
    </row>
    <row r="839">
      <c r="K839" s="3"/>
      <c r="L839" s="27"/>
    </row>
    <row r="840">
      <c r="K840" s="3"/>
      <c r="L840" s="27"/>
    </row>
    <row r="841">
      <c r="K841" s="3"/>
      <c r="L841" s="27"/>
    </row>
    <row r="842">
      <c r="K842" s="3"/>
      <c r="L842" s="27"/>
    </row>
    <row r="843">
      <c r="K843" s="3"/>
      <c r="L843" s="27"/>
    </row>
    <row r="844">
      <c r="K844" s="3"/>
      <c r="L844" s="27"/>
    </row>
    <row r="845">
      <c r="K845" s="3"/>
      <c r="L845" s="27"/>
    </row>
    <row r="846">
      <c r="K846" s="3"/>
      <c r="L846" s="27"/>
    </row>
    <row r="847">
      <c r="K847" s="3"/>
      <c r="L847" s="27"/>
    </row>
    <row r="848">
      <c r="K848" s="3"/>
      <c r="L848" s="27"/>
    </row>
    <row r="849">
      <c r="K849" s="3"/>
      <c r="L849" s="27"/>
    </row>
    <row r="850">
      <c r="K850" s="3"/>
      <c r="L850" s="27"/>
    </row>
    <row r="851">
      <c r="K851" s="3"/>
      <c r="L851" s="27"/>
    </row>
    <row r="852">
      <c r="K852" s="3"/>
      <c r="L852" s="27"/>
    </row>
    <row r="853">
      <c r="K853" s="3"/>
      <c r="L853" s="27"/>
    </row>
    <row r="854">
      <c r="K854" s="3"/>
      <c r="L854" s="27"/>
    </row>
    <row r="855">
      <c r="L855" s="27"/>
    </row>
    <row r="856">
      <c r="K856" s="3"/>
      <c r="L856" s="27"/>
    </row>
    <row r="857">
      <c r="K857" s="3"/>
      <c r="L857" s="27"/>
    </row>
    <row r="858">
      <c r="K858" s="3"/>
      <c r="L858" s="27"/>
    </row>
    <row r="859">
      <c r="L859" s="27"/>
    </row>
    <row r="860">
      <c r="L860" s="27"/>
    </row>
    <row r="861">
      <c r="L861" s="27"/>
    </row>
    <row r="862">
      <c r="L862" s="27"/>
    </row>
  </sheetData>
  <autoFilter ref="$A$1:$D$176">
    <sortState ref="A1:D176">
      <sortCondition ref="A1:A176"/>
      <sortCondition descending="1" ref="C1:C176"/>
      <sortCondition ref="D1:D176"/>
    </sortState>
  </autoFilter>
  <mergeCells count="3">
    <mergeCell ref="J2:K2"/>
    <mergeCell ref="J11:K11"/>
    <mergeCell ref="J20:K20"/>
  </mergeCells>
  <conditionalFormatting sqref="L1:L872">
    <cfRule type="containsText" dxfId="0" priority="1" operator="containsText" text="Pago">
      <formula>NOT(ISERROR(SEARCH(("Pago"),(L1))))</formula>
    </cfRule>
  </conditionalFormatting>
  <conditionalFormatting sqref="L1:L872">
    <cfRule type="containsText" dxfId="1" priority="2" operator="containsText" text="Pendente">
      <formula>NOT(ISERROR(SEARCH(("Pendente"),(L1))))</formula>
    </cfRule>
  </conditionalFormatting>
  <hyperlinks>
    <hyperlink r:id="rId2" ref="B86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3" width="49.63"/>
    <col customWidth="1" min="5" max="5" width="17.88"/>
    <col customWidth="1" min="6" max="6" width="57.0"/>
    <col customWidth="1" min="7" max="7" width="19.25"/>
    <col customWidth="1" min="8" max="8" width="48.88"/>
  </cols>
  <sheetData>
    <row r="1" ht="11.25" customHeight="1">
      <c r="A1" s="37"/>
      <c r="B1" s="37"/>
      <c r="C1" s="37"/>
      <c r="D1" s="37"/>
      <c r="E1" s="95"/>
      <c r="F1" s="37"/>
      <c r="G1" s="39"/>
      <c r="H1" s="39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40" t="s">
        <v>0</v>
      </c>
      <c r="C2" s="40" t="s">
        <v>1</v>
      </c>
      <c r="D2" s="41" t="s">
        <v>2</v>
      </c>
      <c r="E2" s="40" t="s">
        <v>3</v>
      </c>
      <c r="F2" s="40" t="s">
        <v>416</v>
      </c>
      <c r="G2" s="39"/>
      <c r="H2" s="39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">
        <v>46049.0</v>
      </c>
      <c r="C3" s="107" t="s">
        <v>564</v>
      </c>
      <c r="D3" s="117">
        <v>566.72</v>
      </c>
      <c r="E3" s="106" t="s">
        <v>13</v>
      </c>
      <c r="F3" s="109" t="s">
        <v>975</v>
      </c>
      <c r="G3" s="39"/>
      <c r="H3" s="39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">
        <v>46077.0</v>
      </c>
      <c r="C4" s="5" t="s">
        <v>870</v>
      </c>
      <c r="D4" s="6">
        <v>264.9</v>
      </c>
      <c r="E4" s="71" t="s">
        <v>13</v>
      </c>
      <c r="F4" s="97" t="s">
        <v>541</v>
      </c>
      <c r="G4" s="39"/>
      <c r="H4" s="39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">
        <v>46077.0</v>
      </c>
      <c r="C5" s="5" t="s">
        <v>885</v>
      </c>
      <c r="D5" s="6">
        <v>95.0</v>
      </c>
      <c r="E5" s="71" t="s">
        <v>13</v>
      </c>
      <c r="F5" s="97" t="s">
        <v>859</v>
      </c>
      <c r="G5" s="39"/>
      <c r="H5" s="39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">
        <v>46077.0</v>
      </c>
      <c r="C6" s="5" t="s">
        <v>750</v>
      </c>
      <c r="D6" s="6">
        <v>74.0</v>
      </c>
      <c r="E6" s="71" t="s">
        <v>13</v>
      </c>
      <c r="F6" s="97" t="s">
        <v>245</v>
      </c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">
        <v>46077.0</v>
      </c>
      <c r="C7" s="5" t="s">
        <v>749</v>
      </c>
      <c r="D7" s="6">
        <v>70.0</v>
      </c>
      <c r="E7" s="71" t="s">
        <v>13</v>
      </c>
      <c r="F7" s="97" t="s">
        <v>16</v>
      </c>
      <c r="G7" s="39"/>
      <c r="H7" s="3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">
        <v>46077.0</v>
      </c>
      <c r="C8" s="5" t="s">
        <v>891</v>
      </c>
      <c r="D8" s="6">
        <v>66.49</v>
      </c>
      <c r="E8" s="71" t="s">
        <v>13</v>
      </c>
      <c r="F8" s="97" t="s">
        <v>149</v>
      </c>
      <c r="G8" s="39"/>
      <c r="H8" s="3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">
        <v>46077.0</v>
      </c>
      <c r="C9" s="5" t="s">
        <v>903</v>
      </c>
      <c r="D9" s="6">
        <v>35.0</v>
      </c>
      <c r="E9" s="71" t="s">
        <v>13</v>
      </c>
      <c r="F9" s="71" t="s">
        <v>976</v>
      </c>
      <c r="G9" s="39"/>
      <c r="H9" s="3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">
        <v>46077.0</v>
      </c>
      <c r="C10" s="5" t="s">
        <v>914</v>
      </c>
      <c r="D10" s="6">
        <v>6.9</v>
      </c>
      <c r="E10" s="71" t="s">
        <v>13</v>
      </c>
      <c r="F10" s="71" t="s">
        <v>183</v>
      </c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">
        <v>46078.0</v>
      </c>
      <c r="C11" s="5" t="s">
        <v>659</v>
      </c>
      <c r="D11" s="6">
        <v>120.3</v>
      </c>
      <c r="E11" s="71" t="s">
        <v>13</v>
      </c>
      <c r="F11" s="97" t="s">
        <v>31</v>
      </c>
      <c r="G11" s="39"/>
      <c r="H11" s="3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4">
        <v>46078.0</v>
      </c>
      <c r="C12" s="5" t="s">
        <v>918</v>
      </c>
      <c r="D12" s="6">
        <v>55.0</v>
      </c>
      <c r="E12" s="71" t="s">
        <v>13</v>
      </c>
      <c r="F12" s="97" t="s">
        <v>16</v>
      </c>
      <c r="G12" s="39"/>
      <c r="H12" s="3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">
        <v>46080.0</v>
      </c>
      <c r="C13" s="5" t="s">
        <v>924</v>
      </c>
      <c r="D13" s="6">
        <v>160.0</v>
      </c>
      <c r="E13" s="71" t="s">
        <v>13</v>
      </c>
      <c r="F13" s="97" t="s">
        <v>183</v>
      </c>
      <c r="G13" s="39"/>
      <c r="H13" s="3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4">
        <v>46080.0</v>
      </c>
      <c r="C14" s="5" t="s">
        <v>712</v>
      </c>
      <c r="D14" s="6">
        <v>71.97</v>
      </c>
      <c r="E14" s="71" t="s">
        <v>13</v>
      </c>
      <c r="F14" s="118" t="s">
        <v>149</v>
      </c>
      <c r="G14" s="39"/>
      <c r="H14" s="3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4">
        <v>46080.0</v>
      </c>
      <c r="C15" s="5" t="s">
        <v>926</v>
      </c>
      <c r="D15" s="6">
        <v>47.0</v>
      </c>
      <c r="E15" s="71" t="s">
        <v>13</v>
      </c>
      <c r="F15" s="5" t="s">
        <v>977</v>
      </c>
      <c r="G15" s="39"/>
      <c r="H15" s="3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4">
        <v>46082.0</v>
      </c>
      <c r="C16" s="5" t="s">
        <v>928</v>
      </c>
      <c r="D16" s="6">
        <v>150.0</v>
      </c>
      <c r="E16" s="71" t="s">
        <v>13</v>
      </c>
      <c r="F16" s="71" t="s">
        <v>16</v>
      </c>
      <c r="G16" s="39"/>
      <c r="H16" s="3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4">
        <v>46082.0</v>
      </c>
      <c r="C17" s="5" t="s">
        <v>929</v>
      </c>
      <c r="D17" s="6">
        <v>126.68</v>
      </c>
      <c r="E17" s="71" t="s">
        <v>13</v>
      </c>
      <c r="F17" s="97" t="s">
        <v>978</v>
      </c>
      <c r="G17" s="39"/>
      <c r="H17" s="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4">
        <v>46082.0</v>
      </c>
      <c r="C18" s="5" t="s">
        <v>659</v>
      </c>
      <c r="D18" s="6">
        <v>97.91</v>
      </c>
      <c r="E18" s="71" t="s">
        <v>13</v>
      </c>
      <c r="F18" s="71" t="s">
        <v>31</v>
      </c>
      <c r="G18" s="39"/>
      <c r="H18" s="3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4">
        <v>46082.0</v>
      </c>
      <c r="C19" s="5" t="s">
        <v>244</v>
      </c>
      <c r="D19" s="6">
        <v>58.0</v>
      </c>
      <c r="E19" s="71" t="s">
        <v>13</v>
      </c>
      <c r="F19" s="71" t="s">
        <v>245</v>
      </c>
      <c r="G19" s="39"/>
      <c r="H19" s="3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4">
        <v>46083.0</v>
      </c>
      <c r="C20" s="5" t="s">
        <v>663</v>
      </c>
      <c r="D20" s="6">
        <v>24.0</v>
      </c>
      <c r="E20" s="71" t="s">
        <v>13</v>
      </c>
      <c r="F20" s="71" t="s">
        <v>31</v>
      </c>
      <c r="G20" s="39"/>
      <c r="H20" s="3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4">
        <v>46084.0</v>
      </c>
      <c r="C21" s="5" t="s">
        <v>933</v>
      </c>
      <c r="D21" s="6">
        <v>115.0</v>
      </c>
      <c r="E21" s="71" t="s">
        <v>13</v>
      </c>
      <c r="F21" s="71" t="s">
        <v>979</v>
      </c>
      <c r="G21" s="39"/>
      <c r="H21" s="3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4">
        <v>46084.0</v>
      </c>
      <c r="C22" s="5" t="s">
        <v>934</v>
      </c>
      <c r="D22" s="6">
        <v>34.0</v>
      </c>
      <c r="E22" s="71" t="s">
        <v>13</v>
      </c>
      <c r="F22" s="97" t="s">
        <v>980</v>
      </c>
      <c r="G22" s="39"/>
      <c r="H22" s="3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4">
        <v>46085.0</v>
      </c>
      <c r="C23" s="5" t="s">
        <v>659</v>
      </c>
      <c r="D23" s="6">
        <v>76.66</v>
      </c>
      <c r="E23" s="71" t="s">
        <v>13</v>
      </c>
      <c r="F23" s="97" t="s">
        <v>31</v>
      </c>
      <c r="G23" s="39"/>
      <c r="H23" s="3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4">
        <v>46085.0</v>
      </c>
      <c r="C24" s="5" t="s">
        <v>750</v>
      </c>
      <c r="D24" s="6">
        <v>70.0</v>
      </c>
      <c r="E24" s="71" t="s">
        <v>13</v>
      </c>
      <c r="F24" s="97" t="s">
        <v>245</v>
      </c>
      <c r="G24" s="39"/>
      <c r="H24" s="3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4">
        <v>46086.0</v>
      </c>
      <c r="C25" s="5" t="s">
        <v>642</v>
      </c>
      <c r="D25" s="6">
        <v>21.0</v>
      </c>
      <c r="E25" s="71" t="s">
        <v>13</v>
      </c>
      <c r="F25" s="97" t="s">
        <v>980</v>
      </c>
      <c r="G25" s="39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4">
        <v>46086.0</v>
      </c>
      <c r="C26" s="5" t="s">
        <v>659</v>
      </c>
      <c r="D26" s="6">
        <v>16.78</v>
      </c>
      <c r="E26" s="71" t="s">
        <v>13</v>
      </c>
      <c r="F26" s="71" t="s">
        <v>31</v>
      </c>
      <c r="G26" s="39"/>
      <c r="H26" s="39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4">
        <v>46087.0</v>
      </c>
      <c r="C27" s="5" t="s">
        <v>941</v>
      </c>
      <c r="D27" s="6">
        <v>79.0</v>
      </c>
      <c r="E27" s="71" t="s">
        <v>13</v>
      </c>
      <c r="F27" s="97" t="s">
        <v>980</v>
      </c>
      <c r="G27" s="39"/>
      <c r="H27" s="39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4">
        <v>46087.0</v>
      </c>
      <c r="C28" s="5" t="s">
        <v>750</v>
      </c>
      <c r="D28" s="6">
        <v>54.0</v>
      </c>
      <c r="E28" s="71" t="s">
        <v>13</v>
      </c>
      <c r="F28" s="97" t="s">
        <v>245</v>
      </c>
      <c r="G28" s="39"/>
      <c r="H28" s="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4">
        <v>46088.0</v>
      </c>
      <c r="C29" s="5" t="s">
        <v>659</v>
      </c>
      <c r="D29" s="6">
        <v>125.63</v>
      </c>
      <c r="E29" s="71" t="s">
        <v>13</v>
      </c>
      <c r="F29" s="97" t="s">
        <v>31</v>
      </c>
      <c r="G29" s="39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4">
        <v>46089.0</v>
      </c>
      <c r="C30" s="5" t="s">
        <v>523</v>
      </c>
      <c r="D30" s="6">
        <v>195.0</v>
      </c>
      <c r="E30" s="71" t="s">
        <v>13</v>
      </c>
      <c r="F30" s="97" t="s">
        <v>981</v>
      </c>
      <c r="G30" s="39"/>
      <c r="H30" s="39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4">
        <v>46089.0</v>
      </c>
      <c r="C31" s="5" t="s">
        <v>945</v>
      </c>
      <c r="D31" s="6">
        <v>102.48</v>
      </c>
      <c r="E31" s="71" t="s">
        <v>13</v>
      </c>
      <c r="F31" s="97" t="s">
        <v>104</v>
      </c>
      <c r="G31" s="39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4">
        <v>46089.0</v>
      </c>
      <c r="C32" s="5" t="s">
        <v>762</v>
      </c>
      <c r="D32" s="6">
        <v>99.68</v>
      </c>
      <c r="E32" s="71" t="s">
        <v>13</v>
      </c>
      <c r="F32" s="97" t="s">
        <v>31</v>
      </c>
      <c r="G32" s="39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4">
        <v>46089.0</v>
      </c>
      <c r="C33" s="5" t="s">
        <v>750</v>
      </c>
      <c r="D33" s="6">
        <v>71.5</v>
      </c>
      <c r="E33" s="71" t="s">
        <v>13</v>
      </c>
      <c r="F33" s="97" t="s">
        <v>245</v>
      </c>
      <c r="G33" s="39"/>
      <c r="H33" s="3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4">
        <v>46090.0</v>
      </c>
      <c r="C34" s="5" t="s">
        <v>951</v>
      </c>
      <c r="D34" s="6">
        <v>239.0</v>
      </c>
      <c r="E34" s="71" t="s">
        <v>13</v>
      </c>
      <c r="F34" s="97" t="s">
        <v>421</v>
      </c>
      <c r="G34" s="39"/>
      <c r="H34" s="39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4">
        <v>46090.0</v>
      </c>
      <c r="C35" s="5" t="s">
        <v>952</v>
      </c>
      <c r="D35" s="6">
        <v>154.85</v>
      </c>
      <c r="E35" s="71" t="s">
        <v>13</v>
      </c>
      <c r="F35" s="97" t="s">
        <v>421</v>
      </c>
      <c r="G35" s="39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4">
        <v>46094.0</v>
      </c>
      <c r="C36" s="5" t="s">
        <v>957</v>
      </c>
      <c r="D36" s="6">
        <v>69.9</v>
      </c>
      <c r="E36" s="71" t="s">
        <v>13</v>
      </c>
      <c r="F36" s="97" t="s">
        <v>425</v>
      </c>
      <c r="G36" s="39"/>
      <c r="H36" s="3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4">
        <v>46096.0</v>
      </c>
      <c r="C37" s="5" t="s">
        <v>961</v>
      </c>
      <c r="D37" s="6">
        <v>48.0</v>
      </c>
      <c r="E37" s="71" t="s">
        <v>13</v>
      </c>
      <c r="F37" s="71" t="s">
        <v>982</v>
      </c>
      <c r="G37" s="39"/>
      <c r="H37" s="3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4">
        <v>46096.0</v>
      </c>
      <c r="C38" s="5" t="s">
        <v>750</v>
      </c>
      <c r="D38" s="6">
        <v>27.0</v>
      </c>
      <c r="E38" s="71" t="s">
        <v>13</v>
      </c>
      <c r="F38" s="97" t="s">
        <v>245</v>
      </c>
      <c r="G38" s="39"/>
      <c r="H38" s="3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4">
        <v>46098.0</v>
      </c>
      <c r="C39" s="5" t="s">
        <v>967</v>
      </c>
      <c r="D39" s="6">
        <v>22.75</v>
      </c>
      <c r="E39" s="71" t="s">
        <v>13</v>
      </c>
      <c r="F39" s="71" t="s">
        <v>665</v>
      </c>
      <c r="G39" s="39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4">
        <v>46098.0</v>
      </c>
      <c r="C40" s="5" t="s">
        <v>965</v>
      </c>
      <c r="D40" s="6">
        <v>41.4</v>
      </c>
      <c r="E40" s="71" t="s">
        <v>13</v>
      </c>
      <c r="F40" s="97" t="s">
        <v>137</v>
      </c>
      <c r="G40" s="39"/>
      <c r="H40" s="39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4">
        <v>46098.0</v>
      </c>
      <c r="C41" s="5" t="s">
        <v>966</v>
      </c>
      <c r="D41" s="6">
        <v>40.64</v>
      </c>
      <c r="E41" s="71" t="s">
        <v>13</v>
      </c>
      <c r="F41" s="71" t="s">
        <v>132</v>
      </c>
      <c r="G41" s="39"/>
      <c r="H41" s="3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4">
        <v>46098.0</v>
      </c>
      <c r="C42" s="5" t="s">
        <v>750</v>
      </c>
      <c r="D42" s="6">
        <v>59.0</v>
      </c>
      <c r="E42" s="71" t="s">
        <v>13</v>
      </c>
      <c r="F42" s="97" t="s">
        <v>245</v>
      </c>
      <c r="G42" s="39"/>
      <c r="H42" s="39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4">
        <v>46097.0</v>
      </c>
      <c r="C43" s="5" t="s">
        <v>397</v>
      </c>
      <c r="D43" s="6">
        <v>21.97</v>
      </c>
      <c r="E43" s="71" t="s">
        <v>616</v>
      </c>
      <c r="F43" s="97" t="s">
        <v>862</v>
      </c>
      <c r="G43" s="39"/>
      <c r="H43" s="3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4">
        <v>46107.0</v>
      </c>
      <c r="C44" s="5" t="s">
        <v>969</v>
      </c>
      <c r="D44" s="6">
        <v>50.0</v>
      </c>
      <c r="E44" s="71" t="s">
        <v>13</v>
      </c>
      <c r="F44" s="97" t="s">
        <v>417</v>
      </c>
      <c r="G44" s="39"/>
      <c r="H44" s="39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4">
        <v>46103.0</v>
      </c>
      <c r="C45" s="5" t="s">
        <v>525</v>
      </c>
      <c r="D45" s="6">
        <v>66.0</v>
      </c>
      <c r="E45" s="71" t="s">
        <v>13</v>
      </c>
      <c r="F45" s="97" t="s">
        <v>980</v>
      </c>
      <c r="G45" s="39"/>
      <c r="H45" s="39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4">
        <v>46101.0</v>
      </c>
      <c r="C46" s="5" t="s">
        <v>525</v>
      </c>
      <c r="D46" s="6">
        <v>39.0</v>
      </c>
      <c r="E46" s="71" t="s">
        <v>13</v>
      </c>
      <c r="F46" s="97" t="s">
        <v>980</v>
      </c>
      <c r="G46" s="39"/>
      <c r="H46" s="3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4">
        <v>46101.0</v>
      </c>
      <c r="C47" s="5" t="s">
        <v>967</v>
      </c>
      <c r="D47" s="6">
        <v>4.17</v>
      </c>
      <c r="E47" s="71" t="s">
        <v>13</v>
      </c>
      <c r="F47" s="97" t="s">
        <v>665</v>
      </c>
      <c r="G47" s="39"/>
      <c r="H47" s="3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4">
        <v>46100.0</v>
      </c>
      <c r="C48" s="5" t="s">
        <v>974</v>
      </c>
      <c r="D48" s="6">
        <v>43.51</v>
      </c>
      <c r="E48" s="71" t="s">
        <v>13</v>
      </c>
      <c r="F48" s="97" t="s">
        <v>31</v>
      </c>
      <c r="G48" s="39"/>
      <c r="H48" s="3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4">
        <v>46099.0</v>
      </c>
      <c r="C49" s="5" t="s">
        <v>712</v>
      </c>
      <c r="D49" s="6">
        <v>64.88</v>
      </c>
      <c r="E49" s="71" t="s">
        <v>13</v>
      </c>
      <c r="F49" s="97" t="s">
        <v>149</v>
      </c>
      <c r="G49" s="39"/>
      <c r="H49" s="3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8"/>
      <c r="C50" s="78" t="s">
        <v>6</v>
      </c>
      <c r="D50" s="79">
        <f>SUM(D2:D49)</f>
        <v>4142.67</v>
      </c>
      <c r="E50" s="100"/>
      <c r="F50" s="37"/>
      <c r="G50" s="39"/>
      <c r="H50" s="3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95"/>
      <c r="F51" s="37"/>
      <c r="G51" s="38"/>
      <c r="H51" s="3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95"/>
      <c r="F52" s="114" t="s">
        <v>863</v>
      </c>
      <c r="G52" s="38"/>
      <c r="H52" s="3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4">
        <v>46074.0</v>
      </c>
      <c r="C53" s="5" t="s">
        <v>224</v>
      </c>
      <c r="D53" s="6">
        <v>35.53</v>
      </c>
      <c r="E53" s="71" t="s">
        <v>13</v>
      </c>
      <c r="F53" s="6">
        <f t="shared" ref="F53:F56" si="1">D53</f>
        <v>35.53</v>
      </c>
      <c r="G53" s="38"/>
      <c r="H53" s="3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4">
        <v>46075.0</v>
      </c>
      <c r="C54" s="5" t="s">
        <v>776</v>
      </c>
      <c r="D54" s="6">
        <v>66.49</v>
      </c>
      <c r="E54" s="71" t="s">
        <v>777</v>
      </c>
      <c r="F54" s="6">
        <f t="shared" si="1"/>
        <v>66.49</v>
      </c>
      <c r="G54" s="38"/>
      <c r="H54" s="3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4">
        <v>46074.0</v>
      </c>
      <c r="C55" s="5" t="s">
        <v>244</v>
      </c>
      <c r="D55" s="6">
        <v>11.0</v>
      </c>
      <c r="E55" s="71" t="s">
        <v>777</v>
      </c>
      <c r="F55" s="6">
        <f t="shared" si="1"/>
        <v>11</v>
      </c>
      <c r="G55" s="38"/>
      <c r="H55" s="3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4">
        <v>46074.0</v>
      </c>
      <c r="C56" s="5" t="s">
        <v>792</v>
      </c>
      <c r="D56" s="6">
        <v>13.0</v>
      </c>
      <c r="E56" s="71" t="s">
        <v>777</v>
      </c>
      <c r="F56" s="6">
        <f t="shared" si="1"/>
        <v>13</v>
      </c>
      <c r="G56" s="38"/>
      <c r="H56" s="3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4">
        <v>46075.0</v>
      </c>
      <c r="C57" s="5" t="s">
        <v>864</v>
      </c>
      <c r="D57" s="6">
        <v>49.0</v>
      </c>
      <c r="E57" s="71" t="s">
        <v>803</v>
      </c>
      <c r="F57" s="6">
        <f t="shared" ref="F57:F64" si="2">D57/2</f>
        <v>24.5</v>
      </c>
      <c r="G57" s="38"/>
      <c r="H57" s="3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4">
        <v>46075.0</v>
      </c>
      <c r="C58" s="5" t="s">
        <v>864</v>
      </c>
      <c r="D58" s="6">
        <v>100.0</v>
      </c>
      <c r="E58" s="71" t="s">
        <v>803</v>
      </c>
      <c r="F58" s="6">
        <f t="shared" si="2"/>
        <v>50</v>
      </c>
      <c r="G58" s="38"/>
      <c r="H58" s="3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4">
        <v>46075.0</v>
      </c>
      <c r="C59" s="5" t="s">
        <v>865</v>
      </c>
      <c r="D59" s="6">
        <v>68.0</v>
      </c>
      <c r="E59" s="71" t="s">
        <v>803</v>
      </c>
      <c r="F59" s="6">
        <f t="shared" si="2"/>
        <v>34</v>
      </c>
      <c r="G59" s="38"/>
      <c r="H59" s="3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4">
        <v>46075.0</v>
      </c>
      <c r="C60" s="5" t="s">
        <v>866</v>
      </c>
      <c r="D60" s="6">
        <v>21.98</v>
      </c>
      <c r="E60" s="71" t="s">
        <v>803</v>
      </c>
      <c r="F60" s="6">
        <f t="shared" si="2"/>
        <v>10.99</v>
      </c>
      <c r="G60" s="38"/>
      <c r="H60" s="3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4">
        <v>46075.0</v>
      </c>
      <c r="C61" s="5" t="s">
        <v>864</v>
      </c>
      <c r="D61" s="6">
        <v>24.0</v>
      </c>
      <c r="E61" s="71" t="s">
        <v>803</v>
      </c>
      <c r="F61" s="6">
        <f t="shared" si="2"/>
        <v>12</v>
      </c>
      <c r="G61" s="38"/>
      <c r="H61" s="3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4">
        <v>46075.0</v>
      </c>
      <c r="C62" s="5" t="s">
        <v>867</v>
      </c>
      <c r="D62" s="6">
        <v>12.0</v>
      </c>
      <c r="E62" s="71" t="s">
        <v>803</v>
      </c>
      <c r="F62" s="6">
        <f t="shared" si="2"/>
        <v>6</v>
      </c>
      <c r="G62" s="38"/>
      <c r="H62" s="3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4">
        <v>46074.0</v>
      </c>
      <c r="C63" s="115" t="s">
        <v>826</v>
      </c>
      <c r="D63" s="116">
        <v>113.88</v>
      </c>
      <c r="E63" s="71" t="s">
        <v>868</v>
      </c>
      <c r="F63" s="6">
        <f t="shared" si="2"/>
        <v>56.94</v>
      </c>
      <c r="G63" s="38"/>
      <c r="H63" s="3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4">
        <v>46075.0</v>
      </c>
      <c r="C64" s="115" t="s">
        <v>815</v>
      </c>
      <c r="D64" s="116">
        <v>227.0</v>
      </c>
      <c r="E64" s="71" t="s">
        <v>868</v>
      </c>
      <c r="F64" s="6">
        <f t="shared" si="2"/>
        <v>113.5</v>
      </c>
      <c r="G64" s="38"/>
      <c r="H64" s="3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114" t="s">
        <v>6</v>
      </c>
      <c r="F65" s="111">
        <f>SUM(F53:F64)</f>
        <v>433.95</v>
      </c>
      <c r="G65" s="38"/>
      <c r="H65" s="3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95"/>
      <c r="F66" s="37"/>
      <c r="G66" s="38"/>
      <c r="H66" s="3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78" t="s">
        <v>6</v>
      </c>
      <c r="D67" s="79">
        <f>D50</f>
        <v>4142.67</v>
      </c>
      <c r="E67" s="95"/>
      <c r="F67" s="37"/>
      <c r="G67" s="38"/>
      <c r="H67" s="3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119" t="s">
        <v>983</v>
      </c>
      <c r="D68" s="120">
        <f>F65</f>
        <v>433.95</v>
      </c>
      <c r="E68" s="95"/>
      <c r="F68" s="37"/>
      <c r="G68" s="38"/>
      <c r="H68" s="3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121" t="s">
        <v>984</v>
      </c>
      <c r="D69" s="122">
        <f>SUM(D67:D68)</f>
        <v>4576.62</v>
      </c>
      <c r="E69" s="95"/>
      <c r="F69" s="37"/>
      <c r="G69" s="38"/>
      <c r="H69" s="3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95"/>
      <c r="F70" s="37"/>
      <c r="G70" s="38"/>
      <c r="H70" s="3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8"/>
      <c r="H71" s="3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8"/>
      <c r="H72" s="3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8"/>
      <c r="H73" s="3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8"/>
      <c r="H74" s="3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8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8"/>
      <c r="H76" s="3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8"/>
      <c r="H77" s="3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8"/>
      <c r="H78" s="3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8"/>
      <c r="H79" s="3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8"/>
      <c r="H80" s="3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8"/>
      <c r="H81" s="3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8"/>
      <c r="H82" s="3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8"/>
      <c r="H83" s="3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8"/>
      <c r="H84" s="3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8"/>
      <c r="H85" s="3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8"/>
      <c r="H86" s="3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8"/>
      <c r="H87" s="3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8"/>
      <c r="H88" s="3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8"/>
      <c r="H89" s="3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8"/>
      <c r="H90" s="3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8"/>
      <c r="H91" s="3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F92" s="37"/>
      <c r="G92" s="38"/>
      <c r="H92" s="3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F93" s="37"/>
      <c r="G93" s="38"/>
      <c r="H93" s="3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F94" s="37"/>
      <c r="G94" s="38"/>
      <c r="H94" s="3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F95" s="37"/>
      <c r="G95" s="38"/>
      <c r="H95" s="3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F96" s="37"/>
      <c r="G96" s="38"/>
      <c r="H96" s="3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F97" s="37"/>
      <c r="G97" s="38"/>
      <c r="H97" s="3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F98" s="37"/>
      <c r="G98" s="38"/>
      <c r="H98" s="3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F99" s="37"/>
      <c r="G99" s="38"/>
      <c r="H99" s="3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F100" s="37"/>
      <c r="G100" s="38"/>
      <c r="H100" s="3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F101" s="37"/>
      <c r="G101" s="38"/>
      <c r="H101" s="3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95"/>
      <c r="F102" s="37"/>
      <c r="G102" s="38"/>
      <c r="H102" s="3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95"/>
      <c r="F103" s="37"/>
      <c r="G103" s="38"/>
      <c r="H103" s="3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95"/>
      <c r="F104" s="37"/>
      <c r="G104" s="38"/>
      <c r="H104" s="3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95"/>
      <c r="F105" s="37"/>
      <c r="G105" s="38"/>
      <c r="H105" s="3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95"/>
      <c r="F106" s="37"/>
      <c r="G106" s="38"/>
      <c r="H106" s="3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95"/>
      <c r="F107" s="37"/>
      <c r="G107" s="38"/>
      <c r="H107" s="3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95"/>
      <c r="F108" s="37"/>
      <c r="G108" s="38"/>
      <c r="H108" s="3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95"/>
      <c r="F109" s="37"/>
      <c r="G109" s="38"/>
      <c r="H109" s="3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95"/>
      <c r="F110" s="37"/>
      <c r="G110" s="38"/>
      <c r="H110" s="3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95"/>
      <c r="F111" s="37"/>
      <c r="G111" s="38"/>
      <c r="H111" s="3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95"/>
      <c r="F112" s="37"/>
      <c r="G112" s="38"/>
      <c r="H112" s="3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95"/>
      <c r="F113" s="37"/>
      <c r="G113" s="38"/>
      <c r="H113" s="3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95"/>
      <c r="F114" s="37"/>
      <c r="G114" s="38"/>
      <c r="H114" s="3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95"/>
      <c r="F115" s="37"/>
      <c r="G115" s="38"/>
      <c r="H115" s="3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95"/>
      <c r="F116" s="37"/>
      <c r="G116" s="38"/>
      <c r="H116" s="3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95"/>
      <c r="F117" s="37"/>
      <c r="G117" s="38"/>
      <c r="H117" s="3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95"/>
      <c r="F118" s="37"/>
      <c r="G118" s="38"/>
      <c r="H118" s="3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95"/>
      <c r="F119" s="37"/>
      <c r="G119" s="38"/>
      <c r="H119" s="3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95"/>
      <c r="F120" s="37"/>
      <c r="G120" s="38"/>
      <c r="H120" s="3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95"/>
      <c r="F121" s="37"/>
      <c r="G121" s="38"/>
      <c r="H121" s="3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95"/>
      <c r="F122" s="37"/>
      <c r="G122" s="38"/>
      <c r="H122" s="3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95"/>
      <c r="F123" s="37"/>
      <c r="G123" s="38"/>
      <c r="H123" s="3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95"/>
      <c r="F124" s="37"/>
      <c r="G124" s="38"/>
      <c r="H124" s="3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95"/>
      <c r="F125" s="37"/>
      <c r="G125" s="38"/>
      <c r="H125" s="3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95"/>
      <c r="F126" s="37"/>
      <c r="G126" s="38"/>
      <c r="H126" s="3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95"/>
      <c r="F127" s="37"/>
      <c r="G127" s="38"/>
      <c r="H127" s="3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95"/>
      <c r="F128" s="37"/>
      <c r="G128" s="38"/>
      <c r="H128" s="3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95"/>
      <c r="F129" s="37"/>
      <c r="G129" s="38"/>
      <c r="H129" s="3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95"/>
      <c r="F130" s="37"/>
      <c r="G130" s="38"/>
      <c r="H130" s="3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95"/>
      <c r="F131" s="37"/>
      <c r="G131" s="38"/>
      <c r="H131" s="3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95"/>
      <c r="F132" s="37"/>
      <c r="G132" s="38"/>
      <c r="H132" s="3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95"/>
      <c r="F133" s="37"/>
      <c r="G133" s="38"/>
      <c r="H133" s="3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95"/>
      <c r="F134" s="37"/>
      <c r="G134" s="38"/>
      <c r="H134" s="3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95"/>
      <c r="F135" s="37"/>
      <c r="G135" s="38"/>
      <c r="H135" s="3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95"/>
      <c r="F136" s="37"/>
      <c r="G136" s="38"/>
      <c r="H136" s="3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95"/>
      <c r="F137" s="37"/>
      <c r="G137" s="38"/>
      <c r="H137" s="3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95"/>
      <c r="F138" s="37"/>
      <c r="G138" s="38"/>
      <c r="H138" s="3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95"/>
      <c r="F139" s="37"/>
      <c r="G139" s="38"/>
      <c r="H139" s="3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95"/>
      <c r="F140" s="37"/>
      <c r="G140" s="38"/>
      <c r="H140" s="3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95"/>
      <c r="F141" s="37"/>
      <c r="G141" s="38"/>
      <c r="H141" s="3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95"/>
      <c r="F142" s="37"/>
      <c r="G142" s="38"/>
      <c r="H142" s="3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95"/>
      <c r="F143" s="37"/>
      <c r="G143" s="38"/>
      <c r="H143" s="3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95"/>
      <c r="F144" s="37"/>
      <c r="G144" s="38"/>
      <c r="H144" s="3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95"/>
      <c r="F145" s="37"/>
      <c r="G145" s="38"/>
      <c r="H145" s="3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95"/>
      <c r="F146" s="37"/>
      <c r="G146" s="38"/>
      <c r="H146" s="3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95"/>
      <c r="F147" s="37"/>
      <c r="G147" s="38"/>
      <c r="H147" s="3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95"/>
      <c r="F148" s="37"/>
      <c r="G148" s="38"/>
      <c r="H148" s="3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95"/>
      <c r="F149" s="37"/>
      <c r="G149" s="38"/>
      <c r="H149" s="3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95"/>
      <c r="F150" s="37"/>
      <c r="G150" s="38"/>
      <c r="H150" s="3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95"/>
      <c r="F151" s="37"/>
      <c r="G151" s="38"/>
      <c r="H151" s="3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95"/>
      <c r="F152" s="37"/>
      <c r="G152" s="38"/>
      <c r="H152" s="3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95"/>
      <c r="F153" s="37"/>
      <c r="G153" s="38"/>
      <c r="H153" s="3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95"/>
      <c r="F154" s="37"/>
      <c r="G154" s="38"/>
      <c r="H154" s="3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95"/>
      <c r="F155" s="37"/>
      <c r="G155" s="38"/>
      <c r="H155" s="3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95"/>
      <c r="F156" s="37"/>
      <c r="G156" s="38"/>
      <c r="H156" s="3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95"/>
      <c r="F157" s="37"/>
      <c r="G157" s="38"/>
      <c r="H157" s="3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95"/>
      <c r="F158" s="37"/>
      <c r="G158" s="38"/>
      <c r="H158" s="3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95"/>
      <c r="F159" s="37"/>
      <c r="G159" s="38"/>
      <c r="H159" s="3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95"/>
      <c r="F160" s="37"/>
      <c r="G160" s="38"/>
      <c r="H160" s="3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95"/>
      <c r="F161" s="37"/>
      <c r="G161" s="38"/>
      <c r="H161" s="3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95"/>
      <c r="F162" s="37"/>
      <c r="G162" s="38"/>
      <c r="H162" s="3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95"/>
      <c r="F163" s="37"/>
      <c r="G163" s="38"/>
      <c r="H163" s="3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95"/>
      <c r="F164" s="37"/>
      <c r="G164" s="38"/>
      <c r="H164" s="3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95"/>
      <c r="F165" s="37"/>
      <c r="G165" s="38"/>
      <c r="H165" s="3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95"/>
      <c r="F166" s="37"/>
      <c r="G166" s="38"/>
      <c r="H166" s="3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95"/>
      <c r="F167" s="37"/>
      <c r="G167" s="38"/>
      <c r="H167" s="3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95"/>
      <c r="F168" s="37"/>
      <c r="G168" s="38"/>
      <c r="H168" s="3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95"/>
      <c r="F169" s="37"/>
      <c r="G169" s="38"/>
      <c r="H169" s="3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95"/>
      <c r="F170" s="37"/>
      <c r="G170" s="38"/>
      <c r="H170" s="3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95"/>
      <c r="F171" s="37"/>
      <c r="G171" s="38"/>
      <c r="H171" s="3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95"/>
      <c r="F172" s="37"/>
      <c r="G172" s="38"/>
      <c r="H172" s="3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95"/>
      <c r="F173" s="37"/>
      <c r="G173" s="38"/>
      <c r="H173" s="3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95"/>
      <c r="F174" s="37"/>
      <c r="G174" s="38"/>
      <c r="H174" s="3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95"/>
      <c r="F175" s="37"/>
      <c r="G175" s="38"/>
      <c r="H175" s="3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95"/>
      <c r="F176" s="37"/>
      <c r="G176" s="38"/>
      <c r="H176" s="3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95"/>
      <c r="F177" s="37"/>
      <c r="G177" s="38"/>
      <c r="H177" s="3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95"/>
      <c r="F178" s="37"/>
      <c r="G178" s="38"/>
      <c r="H178" s="3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95"/>
      <c r="F179" s="37"/>
      <c r="G179" s="38"/>
      <c r="H179" s="3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95"/>
      <c r="F180" s="37"/>
      <c r="G180" s="38"/>
      <c r="H180" s="3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95"/>
      <c r="F181" s="37"/>
      <c r="G181" s="38"/>
      <c r="H181" s="3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95"/>
      <c r="F182" s="37"/>
      <c r="G182" s="38"/>
      <c r="H182" s="3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95"/>
      <c r="F183" s="37"/>
      <c r="G183" s="38"/>
      <c r="H183" s="3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95"/>
      <c r="F184" s="37"/>
      <c r="G184" s="38"/>
      <c r="H184" s="3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95"/>
      <c r="F185" s="37"/>
      <c r="G185" s="38"/>
      <c r="H185" s="3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95"/>
      <c r="F186" s="37"/>
      <c r="G186" s="38"/>
      <c r="H186" s="3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95"/>
      <c r="F187" s="37"/>
      <c r="G187" s="38"/>
      <c r="H187" s="3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95"/>
      <c r="F188" s="37"/>
      <c r="G188" s="38"/>
      <c r="H188" s="3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95"/>
      <c r="F189" s="37"/>
      <c r="G189" s="38"/>
      <c r="H189" s="3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95"/>
      <c r="F190" s="37"/>
      <c r="G190" s="38"/>
      <c r="H190" s="3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95"/>
      <c r="F191" s="37"/>
      <c r="G191" s="38"/>
      <c r="H191" s="3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95"/>
      <c r="F192" s="37"/>
      <c r="G192" s="38"/>
      <c r="H192" s="3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95"/>
      <c r="F193" s="37"/>
      <c r="G193" s="38"/>
      <c r="H193" s="3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95"/>
      <c r="F194" s="37"/>
      <c r="G194" s="38"/>
      <c r="H194" s="3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95"/>
      <c r="F195" s="37"/>
      <c r="G195" s="38"/>
      <c r="H195" s="3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95"/>
      <c r="F196" s="37"/>
      <c r="G196" s="38"/>
      <c r="H196" s="3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95"/>
      <c r="F197" s="37"/>
      <c r="G197" s="38"/>
      <c r="H197" s="3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95"/>
      <c r="F198" s="37"/>
      <c r="G198" s="38"/>
      <c r="H198" s="3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95"/>
      <c r="F199" s="37"/>
      <c r="G199" s="38"/>
      <c r="H199" s="3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95"/>
      <c r="F200" s="37"/>
      <c r="G200" s="38"/>
      <c r="H200" s="3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95"/>
      <c r="F201" s="37"/>
      <c r="G201" s="38"/>
      <c r="H201" s="3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95"/>
      <c r="F202" s="37"/>
      <c r="G202" s="38"/>
      <c r="H202" s="3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95"/>
      <c r="F203" s="37"/>
      <c r="G203" s="38"/>
      <c r="H203" s="3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95"/>
      <c r="F204" s="37"/>
      <c r="G204" s="38"/>
      <c r="H204" s="3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95"/>
      <c r="F205" s="37"/>
      <c r="G205" s="38"/>
      <c r="H205" s="3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95"/>
      <c r="F206" s="37"/>
      <c r="G206" s="38"/>
      <c r="H206" s="3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95"/>
      <c r="F207" s="37"/>
      <c r="G207" s="38"/>
      <c r="H207" s="3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95"/>
      <c r="F208" s="37"/>
      <c r="G208" s="38"/>
      <c r="H208" s="3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95"/>
      <c r="F209" s="37"/>
      <c r="G209" s="38"/>
      <c r="H209" s="3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95"/>
      <c r="F210" s="37"/>
      <c r="G210" s="38"/>
      <c r="H210" s="3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95"/>
      <c r="F211" s="37"/>
      <c r="G211" s="38"/>
      <c r="H211" s="3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95"/>
      <c r="F212" s="37"/>
      <c r="G212" s="38"/>
      <c r="H212" s="3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95"/>
      <c r="F213" s="37"/>
      <c r="G213" s="38"/>
      <c r="H213" s="3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95"/>
      <c r="F214" s="37"/>
      <c r="G214" s="38"/>
      <c r="H214" s="3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95"/>
      <c r="F215" s="37"/>
      <c r="G215" s="38"/>
      <c r="H215" s="3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95"/>
      <c r="F216" s="37"/>
      <c r="G216" s="38"/>
      <c r="H216" s="3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95"/>
      <c r="F217" s="37"/>
      <c r="G217" s="38"/>
      <c r="H217" s="3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95"/>
      <c r="F218" s="37"/>
      <c r="G218" s="38"/>
      <c r="H218" s="3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95"/>
      <c r="F219" s="37"/>
      <c r="G219" s="38"/>
      <c r="H219" s="3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95"/>
      <c r="F220" s="37"/>
      <c r="G220" s="38"/>
      <c r="H220" s="3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95"/>
      <c r="F221" s="37"/>
      <c r="G221" s="38"/>
      <c r="H221" s="3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95"/>
      <c r="F222" s="37"/>
      <c r="G222" s="38"/>
      <c r="H222" s="3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95"/>
      <c r="F223" s="37"/>
      <c r="G223" s="38"/>
      <c r="H223" s="3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95"/>
      <c r="F224" s="37"/>
      <c r="G224" s="38"/>
      <c r="H224" s="3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95"/>
      <c r="F225" s="37"/>
      <c r="G225" s="38"/>
      <c r="H225" s="3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95"/>
      <c r="F226" s="37"/>
      <c r="G226" s="38"/>
      <c r="H226" s="3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95"/>
      <c r="F227" s="37"/>
      <c r="G227" s="38"/>
      <c r="H227" s="3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95"/>
      <c r="F228" s="37"/>
      <c r="G228" s="38"/>
      <c r="H228" s="3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95"/>
      <c r="F229" s="37"/>
      <c r="G229" s="38"/>
      <c r="H229" s="3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95"/>
      <c r="F230" s="37"/>
      <c r="G230" s="38"/>
      <c r="H230" s="3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95"/>
      <c r="F231" s="37"/>
      <c r="G231" s="38"/>
      <c r="H231" s="3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95"/>
      <c r="F232" s="37"/>
      <c r="G232" s="38"/>
      <c r="H232" s="3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95"/>
      <c r="F233" s="37"/>
      <c r="G233" s="38"/>
      <c r="H233" s="3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95"/>
      <c r="F234" s="37"/>
      <c r="G234" s="38"/>
      <c r="H234" s="3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95"/>
      <c r="F235" s="37"/>
      <c r="G235" s="38"/>
      <c r="H235" s="3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95"/>
      <c r="F236" s="37"/>
      <c r="G236" s="38"/>
      <c r="H236" s="3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95"/>
      <c r="F237" s="37"/>
      <c r="G237" s="38"/>
      <c r="H237" s="3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95"/>
      <c r="F238" s="37"/>
      <c r="G238" s="38"/>
      <c r="H238" s="3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95"/>
      <c r="F239" s="37"/>
      <c r="G239" s="38"/>
      <c r="H239" s="3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95"/>
      <c r="F240" s="37"/>
      <c r="G240" s="38"/>
      <c r="H240" s="3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95"/>
      <c r="F241" s="37"/>
      <c r="G241" s="38"/>
      <c r="H241" s="3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95"/>
      <c r="F242" s="37"/>
      <c r="G242" s="38"/>
      <c r="H242" s="3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95"/>
      <c r="F243" s="37"/>
      <c r="G243" s="38"/>
      <c r="H243" s="3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95"/>
      <c r="F244" s="37"/>
      <c r="G244" s="38"/>
      <c r="H244" s="3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95"/>
      <c r="F245" s="37"/>
      <c r="G245" s="38"/>
      <c r="H245" s="3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95"/>
      <c r="F246" s="37"/>
      <c r="G246" s="38"/>
      <c r="H246" s="3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95"/>
      <c r="F247" s="37"/>
      <c r="G247" s="38"/>
      <c r="H247" s="3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95"/>
      <c r="F248" s="37"/>
      <c r="G248" s="38"/>
      <c r="H248" s="3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95"/>
      <c r="F249" s="37"/>
      <c r="G249" s="38"/>
      <c r="H249" s="3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95"/>
      <c r="F250" s="37"/>
      <c r="G250" s="38"/>
      <c r="H250" s="3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95"/>
      <c r="F251" s="37"/>
      <c r="G251" s="38"/>
      <c r="H251" s="3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95"/>
      <c r="F252" s="37"/>
      <c r="G252" s="38"/>
      <c r="H252" s="3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95"/>
      <c r="F253" s="37"/>
      <c r="G253" s="38"/>
      <c r="H253" s="3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95"/>
      <c r="F254" s="37"/>
      <c r="G254" s="38"/>
      <c r="H254" s="3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95"/>
      <c r="F255" s="37"/>
      <c r="G255" s="38"/>
      <c r="H255" s="3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95"/>
      <c r="F256" s="37"/>
      <c r="G256" s="38"/>
      <c r="H256" s="3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95"/>
      <c r="F257" s="37"/>
      <c r="G257" s="38"/>
      <c r="H257" s="3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95"/>
      <c r="F258" s="37"/>
      <c r="G258" s="38"/>
      <c r="H258" s="3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95"/>
      <c r="F259" s="37"/>
      <c r="G259" s="38"/>
      <c r="H259" s="3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95"/>
      <c r="F260" s="37"/>
      <c r="G260" s="38"/>
      <c r="H260" s="3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95"/>
      <c r="F261" s="37"/>
      <c r="G261" s="38"/>
      <c r="H261" s="3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95"/>
      <c r="F262" s="37"/>
      <c r="G262" s="38"/>
      <c r="H262" s="3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95"/>
      <c r="F263" s="37"/>
      <c r="G263" s="38"/>
      <c r="H263" s="3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95"/>
      <c r="F264" s="37"/>
      <c r="G264" s="38"/>
      <c r="H264" s="3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95"/>
      <c r="F265" s="37"/>
      <c r="G265" s="38"/>
      <c r="H265" s="3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95"/>
      <c r="F266" s="37"/>
      <c r="G266" s="38"/>
      <c r="H266" s="3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95"/>
      <c r="F267" s="37"/>
      <c r="G267" s="38"/>
      <c r="H267" s="3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95"/>
      <c r="F268" s="37"/>
      <c r="G268" s="38"/>
      <c r="H268" s="3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95"/>
      <c r="F269" s="37"/>
      <c r="G269" s="38"/>
      <c r="H269" s="3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95"/>
      <c r="F270" s="37"/>
      <c r="G270" s="38"/>
      <c r="H270" s="3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95"/>
      <c r="F271" s="37"/>
      <c r="G271" s="38"/>
      <c r="H271" s="3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95"/>
      <c r="F272" s="37"/>
      <c r="G272" s="38"/>
      <c r="H272" s="3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95"/>
      <c r="F273" s="37"/>
      <c r="G273" s="38"/>
      <c r="H273" s="3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95"/>
      <c r="F274" s="37"/>
      <c r="G274" s="38"/>
      <c r="H274" s="3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95"/>
      <c r="F275" s="37"/>
      <c r="G275" s="38"/>
      <c r="H275" s="3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95"/>
      <c r="F276" s="37"/>
      <c r="G276" s="38"/>
      <c r="H276" s="3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95"/>
      <c r="F277" s="37"/>
      <c r="G277" s="38"/>
      <c r="H277" s="3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95"/>
      <c r="F278" s="37"/>
      <c r="G278" s="38"/>
      <c r="H278" s="3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95"/>
      <c r="F279" s="37"/>
      <c r="G279" s="38"/>
      <c r="H279" s="3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95"/>
      <c r="F280" s="37"/>
      <c r="G280" s="38"/>
      <c r="H280" s="3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95"/>
      <c r="F281" s="37"/>
      <c r="G281" s="38"/>
      <c r="H281" s="3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95"/>
      <c r="F282" s="37"/>
      <c r="G282" s="38"/>
      <c r="H282" s="3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95"/>
      <c r="F283" s="37"/>
      <c r="G283" s="38"/>
      <c r="H283" s="3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95"/>
      <c r="F284" s="37"/>
      <c r="G284" s="38"/>
      <c r="H284" s="3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95"/>
      <c r="F285" s="37"/>
      <c r="G285" s="38"/>
      <c r="H285" s="3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95"/>
      <c r="F286" s="37"/>
      <c r="G286" s="38"/>
      <c r="H286" s="3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95"/>
      <c r="F287" s="37"/>
      <c r="G287" s="38"/>
      <c r="H287" s="3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95"/>
      <c r="F288" s="37"/>
      <c r="G288" s="38"/>
      <c r="H288" s="3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95"/>
      <c r="F289" s="37"/>
      <c r="G289" s="38"/>
      <c r="H289" s="3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95"/>
      <c r="F290" s="37"/>
      <c r="G290" s="38"/>
      <c r="H290" s="3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95"/>
      <c r="F291" s="37"/>
      <c r="G291" s="38"/>
      <c r="H291" s="3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95"/>
      <c r="F292" s="37"/>
      <c r="G292" s="38"/>
      <c r="H292" s="3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95"/>
      <c r="F293" s="37"/>
      <c r="G293" s="38"/>
      <c r="H293" s="3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95"/>
      <c r="F294" s="37"/>
      <c r="G294" s="38"/>
      <c r="H294" s="3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95"/>
      <c r="F295" s="37"/>
      <c r="G295" s="38"/>
      <c r="H295" s="3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95"/>
      <c r="F296" s="37"/>
      <c r="G296" s="38"/>
      <c r="H296" s="3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95"/>
      <c r="F297" s="37"/>
      <c r="G297" s="38"/>
      <c r="H297" s="3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95"/>
      <c r="F298" s="37"/>
      <c r="G298" s="38"/>
      <c r="H298" s="3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95"/>
      <c r="F299" s="37"/>
      <c r="G299" s="38"/>
      <c r="H299" s="3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95"/>
      <c r="F300" s="37"/>
      <c r="G300" s="38"/>
      <c r="H300" s="3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95"/>
      <c r="F301" s="37"/>
      <c r="G301" s="38"/>
      <c r="H301" s="3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95"/>
      <c r="F302" s="37"/>
      <c r="G302" s="38"/>
      <c r="H302" s="3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95"/>
      <c r="F303" s="37"/>
      <c r="G303" s="38"/>
      <c r="H303" s="3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95"/>
      <c r="F304" s="37"/>
      <c r="G304" s="38"/>
      <c r="H304" s="3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95"/>
      <c r="F305" s="37"/>
      <c r="G305" s="38"/>
      <c r="H305" s="3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95"/>
      <c r="F306" s="37"/>
      <c r="G306" s="38"/>
      <c r="H306" s="3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95"/>
      <c r="F307" s="37"/>
      <c r="G307" s="38"/>
      <c r="H307" s="3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95"/>
      <c r="F308" s="37"/>
      <c r="G308" s="38"/>
      <c r="H308" s="3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95"/>
      <c r="F309" s="37"/>
      <c r="G309" s="38"/>
      <c r="H309" s="3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95"/>
      <c r="F310" s="37"/>
      <c r="G310" s="38"/>
      <c r="H310" s="3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95"/>
      <c r="F311" s="37"/>
      <c r="G311" s="38"/>
      <c r="H311" s="3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95"/>
      <c r="F312" s="37"/>
      <c r="G312" s="38"/>
      <c r="H312" s="3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95"/>
      <c r="F313" s="37"/>
      <c r="G313" s="38"/>
      <c r="H313" s="3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95"/>
      <c r="F314" s="37"/>
      <c r="G314" s="38"/>
      <c r="H314" s="3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95"/>
      <c r="F315" s="37"/>
      <c r="G315" s="38"/>
      <c r="H315" s="3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95"/>
      <c r="F316" s="37"/>
      <c r="G316" s="38"/>
      <c r="H316" s="3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95"/>
      <c r="F317" s="37"/>
      <c r="G317" s="38"/>
      <c r="H317" s="3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95"/>
      <c r="F318" s="37"/>
      <c r="G318" s="38"/>
      <c r="H318" s="3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95"/>
      <c r="F319" s="37"/>
      <c r="G319" s="38"/>
      <c r="H319" s="3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95"/>
      <c r="F320" s="37"/>
      <c r="G320" s="38"/>
      <c r="H320" s="3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95"/>
      <c r="F321" s="37"/>
      <c r="G321" s="38"/>
      <c r="H321" s="3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95"/>
      <c r="F322" s="37"/>
      <c r="G322" s="38"/>
      <c r="H322" s="3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95"/>
      <c r="F323" s="37"/>
      <c r="G323" s="38"/>
      <c r="H323" s="3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95"/>
      <c r="F324" s="37"/>
      <c r="G324" s="38"/>
      <c r="H324" s="3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95"/>
      <c r="F325" s="37"/>
      <c r="G325" s="38"/>
      <c r="H325" s="3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95"/>
      <c r="F326" s="37"/>
      <c r="G326" s="38"/>
      <c r="H326" s="3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95"/>
      <c r="F327" s="37"/>
      <c r="G327" s="38"/>
      <c r="H327" s="3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95"/>
      <c r="F328" s="37"/>
      <c r="G328" s="38"/>
      <c r="H328" s="3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95"/>
      <c r="F329" s="37"/>
      <c r="G329" s="38"/>
      <c r="H329" s="3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95"/>
      <c r="F330" s="37"/>
      <c r="G330" s="38"/>
      <c r="H330" s="3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95"/>
      <c r="F331" s="37"/>
      <c r="G331" s="38"/>
      <c r="H331" s="3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95"/>
      <c r="F332" s="37"/>
      <c r="G332" s="38"/>
      <c r="H332" s="3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95"/>
      <c r="F333" s="37"/>
      <c r="G333" s="38"/>
      <c r="H333" s="3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95"/>
      <c r="F334" s="37"/>
      <c r="G334" s="38"/>
      <c r="H334" s="3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95"/>
      <c r="F335" s="37"/>
      <c r="G335" s="38"/>
      <c r="H335" s="3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95"/>
      <c r="F336" s="37"/>
      <c r="G336" s="38"/>
      <c r="H336" s="3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95"/>
      <c r="F337" s="37"/>
      <c r="G337" s="38"/>
      <c r="H337" s="3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95"/>
      <c r="F338" s="37"/>
      <c r="G338" s="38"/>
      <c r="H338" s="3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95"/>
      <c r="F339" s="37"/>
      <c r="G339" s="38"/>
      <c r="H339" s="3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95"/>
      <c r="F340" s="37"/>
      <c r="G340" s="38"/>
      <c r="H340" s="3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95"/>
      <c r="F341" s="37"/>
      <c r="G341" s="38"/>
      <c r="H341" s="3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95"/>
      <c r="F342" s="37"/>
      <c r="G342" s="38"/>
      <c r="H342" s="3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95"/>
      <c r="F343" s="37"/>
      <c r="G343" s="38"/>
      <c r="H343" s="3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95"/>
      <c r="F344" s="37"/>
      <c r="G344" s="38"/>
      <c r="H344" s="3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95"/>
      <c r="F345" s="37"/>
      <c r="G345" s="38"/>
      <c r="H345" s="3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95"/>
      <c r="F346" s="37"/>
      <c r="G346" s="38"/>
      <c r="H346" s="3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95"/>
      <c r="F347" s="37"/>
      <c r="G347" s="38"/>
      <c r="H347" s="3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95"/>
      <c r="F348" s="37"/>
      <c r="G348" s="38"/>
      <c r="H348" s="3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95"/>
      <c r="F349" s="37"/>
      <c r="G349" s="38"/>
      <c r="H349" s="3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95"/>
      <c r="F350" s="37"/>
      <c r="G350" s="38"/>
      <c r="H350" s="3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95"/>
      <c r="F351" s="37"/>
      <c r="G351" s="38"/>
      <c r="H351" s="3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95"/>
      <c r="F352" s="37"/>
      <c r="G352" s="38"/>
      <c r="H352" s="3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95"/>
      <c r="F353" s="37"/>
      <c r="G353" s="38"/>
      <c r="H353" s="3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95"/>
      <c r="F354" s="37"/>
      <c r="G354" s="38"/>
      <c r="H354" s="3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95"/>
      <c r="F355" s="37"/>
      <c r="G355" s="38"/>
      <c r="H355" s="3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95"/>
      <c r="F356" s="37"/>
      <c r="G356" s="38"/>
      <c r="H356" s="3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95"/>
      <c r="F357" s="37"/>
      <c r="G357" s="38"/>
      <c r="H357" s="3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95"/>
      <c r="F358" s="37"/>
      <c r="G358" s="38"/>
      <c r="H358" s="3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95"/>
      <c r="F359" s="37"/>
      <c r="G359" s="38"/>
      <c r="H359" s="3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95"/>
      <c r="F360" s="37"/>
      <c r="G360" s="38"/>
      <c r="H360" s="3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95"/>
      <c r="F361" s="37"/>
      <c r="G361" s="38"/>
      <c r="H361" s="3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95"/>
      <c r="F362" s="37"/>
      <c r="G362" s="38"/>
      <c r="H362" s="3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95"/>
      <c r="F363" s="37"/>
      <c r="G363" s="38"/>
      <c r="H363" s="3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95"/>
      <c r="F364" s="37"/>
      <c r="G364" s="38"/>
      <c r="H364" s="3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95"/>
      <c r="F365" s="37"/>
      <c r="G365" s="38"/>
      <c r="H365" s="3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95"/>
      <c r="F366" s="37"/>
      <c r="G366" s="38"/>
      <c r="H366" s="3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95"/>
      <c r="F367" s="37"/>
      <c r="G367" s="38"/>
      <c r="H367" s="3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95"/>
      <c r="F368" s="37"/>
      <c r="G368" s="38"/>
      <c r="H368" s="3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95"/>
      <c r="F369" s="37"/>
      <c r="G369" s="38"/>
      <c r="H369" s="3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95"/>
      <c r="F370" s="37"/>
      <c r="G370" s="38"/>
      <c r="H370" s="3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95"/>
      <c r="F371" s="37"/>
      <c r="G371" s="38"/>
      <c r="H371" s="3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95"/>
      <c r="F372" s="37"/>
      <c r="G372" s="38"/>
      <c r="H372" s="3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95"/>
      <c r="F373" s="37"/>
      <c r="G373" s="38"/>
      <c r="H373" s="3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95"/>
      <c r="F374" s="37"/>
      <c r="G374" s="38"/>
      <c r="H374" s="3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95"/>
      <c r="F375" s="37"/>
      <c r="G375" s="38"/>
      <c r="H375" s="3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95"/>
      <c r="F376" s="37"/>
      <c r="G376" s="38"/>
      <c r="H376" s="3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95"/>
      <c r="F377" s="37"/>
      <c r="G377" s="38"/>
      <c r="H377" s="3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95"/>
      <c r="F378" s="37"/>
      <c r="G378" s="38"/>
      <c r="H378" s="3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95"/>
      <c r="F379" s="37"/>
      <c r="G379" s="38"/>
      <c r="H379" s="3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95"/>
      <c r="F380" s="37"/>
      <c r="G380" s="38"/>
      <c r="H380" s="3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95"/>
      <c r="F381" s="37"/>
      <c r="G381" s="38"/>
      <c r="H381" s="3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95"/>
      <c r="F382" s="37"/>
      <c r="G382" s="38"/>
      <c r="H382" s="3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95"/>
      <c r="F383" s="37"/>
      <c r="G383" s="38"/>
      <c r="H383" s="3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95"/>
      <c r="F384" s="37"/>
      <c r="G384" s="38"/>
      <c r="H384" s="3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95"/>
      <c r="F385" s="37"/>
      <c r="G385" s="38"/>
      <c r="H385" s="3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95"/>
      <c r="F386" s="37"/>
      <c r="G386" s="38"/>
      <c r="H386" s="3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95"/>
      <c r="F387" s="37"/>
      <c r="G387" s="38"/>
      <c r="H387" s="3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95"/>
      <c r="F388" s="37"/>
      <c r="G388" s="38"/>
      <c r="H388" s="3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95"/>
      <c r="F389" s="37"/>
      <c r="G389" s="38"/>
      <c r="H389" s="3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95"/>
      <c r="F390" s="37"/>
      <c r="G390" s="38"/>
      <c r="H390" s="3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95"/>
      <c r="F391" s="37"/>
      <c r="G391" s="38"/>
      <c r="H391" s="3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95"/>
      <c r="F392" s="37"/>
      <c r="G392" s="38"/>
      <c r="H392" s="3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95"/>
      <c r="F393" s="37"/>
      <c r="G393" s="38"/>
      <c r="H393" s="3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95"/>
      <c r="F394" s="37"/>
      <c r="G394" s="38"/>
      <c r="H394" s="3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95"/>
      <c r="F395" s="37"/>
      <c r="G395" s="38"/>
      <c r="H395" s="3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95"/>
      <c r="F396" s="37"/>
      <c r="G396" s="38"/>
      <c r="H396" s="3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95"/>
      <c r="F397" s="37"/>
      <c r="G397" s="38"/>
      <c r="H397" s="3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95"/>
      <c r="F398" s="37"/>
      <c r="G398" s="38"/>
      <c r="H398" s="3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95"/>
      <c r="F399" s="37"/>
      <c r="G399" s="38"/>
      <c r="H399" s="3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95"/>
      <c r="F400" s="37"/>
      <c r="G400" s="38"/>
      <c r="H400" s="3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95"/>
      <c r="F401" s="37"/>
      <c r="G401" s="38"/>
      <c r="H401" s="3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95"/>
      <c r="F402" s="37"/>
      <c r="G402" s="38"/>
      <c r="H402" s="3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95"/>
      <c r="F403" s="37"/>
      <c r="G403" s="38"/>
      <c r="H403" s="3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95"/>
      <c r="F404" s="37"/>
      <c r="G404" s="38"/>
      <c r="H404" s="3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95"/>
      <c r="F405" s="37"/>
      <c r="G405" s="38"/>
      <c r="H405" s="3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95"/>
      <c r="F406" s="37"/>
      <c r="G406" s="38"/>
      <c r="H406" s="3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95"/>
      <c r="F407" s="37"/>
      <c r="G407" s="38"/>
      <c r="H407" s="3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95"/>
      <c r="F408" s="37"/>
      <c r="G408" s="38"/>
      <c r="H408" s="3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95"/>
      <c r="F409" s="37"/>
      <c r="G409" s="38"/>
      <c r="H409" s="3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95"/>
      <c r="F410" s="37"/>
      <c r="G410" s="38"/>
      <c r="H410" s="3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95"/>
      <c r="F411" s="37"/>
      <c r="G411" s="38"/>
      <c r="H411" s="3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95"/>
      <c r="F412" s="37"/>
      <c r="G412" s="38"/>
      <c r="H412" s="3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95"/>
      <c r="F413" s="37"/>
      <c r="G413" s="38"/>
      <c r="H413" s="3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95"/>
      <c r="F414" s="37"/>
      <c r="G414" s="38"/>
      <c r="H414" s="3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95"/>
      <c r="F415" s="37"/>
      <c r="G415" s="38"/>
      <c r="H415" s="3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95"/>
      <c r="F416" s="37"/>
      <c r="G416" s="38"/>
      <c r="H416" s="3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95"/>
      <c r="F417" s="37"/>
      <c r="G417" s="38"/>
      <c r="H417" s="3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95"/>
      <c r="F418" s="37"/>
      <c r="G418" s="38"/>
      <c r="H418" s="3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95"/>
      <c r="F419" s="37"/>
      <c r="G419" s="38"/>
      <c r="H419" s="3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95"/>
      <c r="F420" s="37"/>
      <c r="G420" s="38"/>
      <c r="H420" s="3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95"/>
      <c r="F421" s="37"/>
      <c r="G421" s="38"/>
      <c r="H421" s="3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95"/>
      <c r="F422" s="37"/>
      <c r="G422" s="38"/>
      <c r="H422" s="3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95"/>
      <c r="F423" s="37"/>
      <c r="G423" s="38"/>
      <c r="H423" s="3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95"/>
      <c r="F424" s="37"/>
      <c r="G424" s="38"/>
      <c r="H424" s="3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95"/>
      <c r="F425" s="37"/>
      <c r="G425" s="38"/>
      <c r="H425" s="3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95"/>
      <c r="F426" s="37"/>
      <c r="G426" s="38"/>
      <c r="H426" s="3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95"/>
      <c r="F427" s="37"/>
      <c r="G427" s="38"/>
      <c r="H427" s="3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95"/>
      <c r="F428" s="37"/>
      <c r="G428" s="38"/>
      <c r="H428" s="3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95"/>
      <c r="F429" s="37"/>
      <c r="G429" s="38"/>
      <c r="H429" s="3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95"/>
      <c r="F430" s="37"/>
      <c r="G430" s="38"/>
      <c r="H430" s="3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95"/>
      <c r="F431" s="37"/>
      <c r="G431" s="38"/>
      <c r="H431" s="3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95"/>
      <c r="F432" s="37"/>
      <c r="G432" s="38"/>
      <c r="H432" s="3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95"/>
      <c r="F433" s="37"/>
      <c r="G433" s="38"/>
      <c r="H433" s="3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95"/>
      <c r="F434" s="37"/>
      <c r="G434" s="38"/>
      <c r="H434" s="3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95"/>
      <c r="F435" s="37"/>
      <c r="G435" s="38"/>
      <c r="H435" s="3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95"/>
      <c r="F436" s="37"/>
      <c r="G436" s="38"/>
      <c r="H436" s="3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95"/>
      <c r="F437" s="37"/>
      <c r="G437" s="38"/>
      <c r="H437" s="3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95"/>
      <c r="F438" s="37"/>
      <c r="G438" s="38"/>
      <c r="H438" s="3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95"/>
      <c r="F439" s="37"/>
      <c r="G439" s="38"/>
      <c r="H439" s="3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95"/>
      <c r="F440" s="37"/>
      <c r="G440" s="38"/>
      <c r="H440" s="3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95"/>
      <c r="F441" s="37"/>
      <c r="G441" s="38"/>
      <c r="H441" s="3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95"/>
      <c r="F442" s="37"/>
      <c r="G442" s="38"/>
      <c r="H442" s="3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95"/>
      <c r="F443" s="37"/>
      <c r="G443" s="38"/>
      <c r="H443" s="3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95"/>
      <c r="F444" s="37"/>
      <c r="G444" s="38"/>
      <c r="H444" s="3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95"/>
      <c r="F445" s="37"/>
      <c r="G445" s="38"/>
      <c r="H445" s="3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95"/>
      <c r="F446" s="37"/>
      <c r="G446" s="38"/>
      <c r="H446" s="3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95"/>
      <c r="F447" s="37"/>
      <c r="G447" s="38"/>
      <c r="H447" s="3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95"/>
      <c r="F448" s="37"/>
      <c r="G448" s="38"/>
      <c r="H448" s="3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95"/>
      <c r="F449" s="37"/>
      <c r="G449" s="38"/>
      <c r="H449" s="3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95"/>
      <c r="F450" s="37"/>
      <c r="G450" s="38"/>
      <c r="H450" s="3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95"/>
      <c r="F451" s="37"/>
      <c r="G451" s="38"/>
      <c r="H451" s="3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95"/>
      <c r="F452" s="37"/>
      <c r="G452" s="38"/>
      <c r="H452" s="3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95"/>
      <c r="F453" s="37"/>
      <c r="G453" s="38"/>
      <c r="H453" s="3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95"/>
      <c r="F454" s="37"/>
      <c r="G454" s="38"/>
      <c r="H454" s="3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95"/>
      <c r="F455" s="37"/>
      <c r="G455" s="38"/>
      <c r="H455" s="3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95"/>
      <c r="F456" s="37"/>
      <c r="G456" s="38"/>
      <c r="H456" s="3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95"/>
      <c r="F457" s="37"/>
      <c r="G457" s="38"/>
      <c r="H457" s="3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95"/>
      <c r="F458" s="37"/>
      <c r="G458" s="38"/>
      <c r="H458" s="3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95"/>
      <c r="F459" s="37"/>
      <c r="G459" s="38"/>
      <c r="H459" s="3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95"/>
      <c r="F460" s="37"/>
      <c r="G460" s="38"/>
      <c r="H460" s="3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95"/>
      <c r="F461" s="37"/>
      <c r="G461" s="38"/>
      <c r="H461" s="3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95"/>
      <c r="F462" s="37"/>
      <c r="G462" s="38"/>
      <c r="H462" s="3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95"/>
      <c r="F463" s="37"/>
      <c r="G463" s="38"/>
      <c r="H463" s="3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95"/>
      <c r="F464" s="37"/>
      <c r="G464" s="38"/>
      <c r="H464" s="3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95"/>
      <c r="F465" s="37"/>
      <c r="G465" s="38"/>
      <c r="H465" s="3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95"/>
      <c r="F466" s="37"/>
      <c r="G466" s="38"/>
      <c r="H466" s="3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95"/>
      <c r="F467" s="37"/>
      <c r="G467" s="38"/>
      <c r="H467" s="3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95"/>
      <c r="F468" s="37"/>
      <c r="G468" s="38"/>
      <c r="H468" s="3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95"/>
      <c r="F469" s="37"/>
      <c r="G469" s="38"/>
      <c r="H469" s="3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95"/>
      <c r="F470" s="37"/>
      <c r="G470" s="38"/>
      <c r="H470" s="3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95"/>
      <c r="F471" s="37"/>
      <c r="G471" s="38"/>
      <c r="H471" s="3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95"/>
      <c r="F472" s="37"/>
      <c r="G472" s="38"/>
      <c r="H472" s="3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95"/>
      <c r="F473" s="37"/>
      <c r="G473" s="38"/>
      <c r="H473" s="3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95"/>
      <c r="F474" s="37"/>
      <c r="G474" s="38"/>
      <c r="H474" s="3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95"/>
      <c r="F475" s="37"/>
      <c r="G475" s="38"/>
      <c r="H475" s="3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95"/>
      <c r="F476" s="37"/>
      <c r="G476" s="38"/>
      <c r="H476" s="3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95"/>
      <c r="F477" s="37"/>
      <c r="G477" s="38"/>
      <c r="H477" s="3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95"/>
      <c r="F478" s="37"/>
      <c r="G478" s="38"/>
      <c r="H478" s="3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95"/>
      <c r="F479" s="37"/>
      <c r="G479" s="38"/>
      <c r="H479" s="3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95"/>
      <c r="F480" s="37"/>
      <c r="G480" s="38"/>
      <c r="H480" s="3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95"/>
      <c r="F481" s="37"/>
      <c r="G481" s="38"/>
      <c r="H481" s="3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95"/>
      <c r="F482" s="37"/>
      <c r="G482" s="38"/>
      <c r="H482" s="3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95"/>
      <c r="F483" s="37"/>
      <c r="G483" s="38"/>
      <c r="H483" s="3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95"/>
      <c r="F484" s="37"/>
      <c r="G484" s="38"/>
      <c r="H484" s="3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95"/>
      <c r="F485" s="37"/>
      <c r="G485" s="38"/>
      <c r="H485" s="3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95"/>
      <c r="F486" s="37"/>
      <c r="G486" s="38"/>
      <c r="H486" s="3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95"/>
      <c r="F487" s="37"/>
      <c r="G487" s="38"/>
      <c r="H487" s="3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95"/>
      <c r="F488" s="37"/>
      <c r="G488" s="38"/>
      <c r="H488" s="3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95"/>
      <c r="F489" s="37"/>
      <c r="G489" s="38"/>
      <c r="H489" s="3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95"/>
      <c r="F490" s="37"/>
      <c r="G490" s="38"/>
      <c r="H490" s="3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95"/>
      <c r="F491" s="37"/>
      <c r="G491" s="38"/>
      <c r="H491" s="3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95"/>
      <c r="F492" s="37"/>
      <c r="G492" s="38"/>
      <c r="H492" s="3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95"/>
      <c r="F493" s="37"/>
      <c r="G493" s="38"/>
      <c r="H493" s="3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95"/>
      <c r="F494" s="37"/>
      <c r="G494" s="38"/>
      <c r="H494" s="3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95"/>
      <c r="F495" s="37"/>
      <c r="G495" s="38"/>
      <c r="H495" s="3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95"/>
      <c r="F496" s="37"/>
      <c r="G496" s="38"/>
      <c r="H496" s="3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95"/>
      <c r="F497" s="37"/>
      <c r="G497" s="38"/>
      <c r="H497" s="3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95"/>
      <c r="F498" s="37"/>
      <c r="G498" s="38"/>
      <c r="H498" s="3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95"/>
      <c r="F499" s="37"/>
      <c r="G499" s="38"/>
      <c r="H499" s="3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95"/>
      <c r="F500" s="37"/>
      <c r="G500" s="38"/>
      <c r="H500" s="3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95"/>
      <c r="F501" s="37"/>
      <c r="G501" s="38"/>
      <c r="H501" s="3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95"/>
      <c r="F502" s="37"/>
      <c r="G502" s="38"/>
      <c r="H502" s="3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95"/>
      <c r="F503" s="37"/>
      <c r="G503" s="38"/>
      <c r="H503" s="3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95"/>
      <c r="F504" s="37"/>
      <c r="G504" s="38"/>
      <c r="H504" s="3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95"/>
      <c r="F505" s="37"/>
      <c r="G505" s="38"/>
      <c r="H505" s="3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95"/>
      <c r="F506" s="37"/>
      <c r="G506" s="38"/>
      <c r="H506" s="3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95"/>
      <c r="F507" s="37"/>
      <c r="G507" s="38"/>
      <c r="H507" s="3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95"/>
      <c r="F508" s="37"/>
      <c r="G508" s="38"/>
      <c r="H508" s="3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95"/>
      <c r="F509" s="37"/>
      <c r="G509" s="38"/>
      <c r="H509" s="3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95"/>
      <c r="F510" s="37"/>
      <c r="G510" s="38"/>
      <c r="H510" s="3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95"/>
      <c r="F511" s="37"/>
      <c r="G511" s="38"/>
      <c r="H511" s="3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95"/>
      <c r="F512" s="37"/>
      <c r="G512" s="38"/>
      <c r="H512" s="3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95"/>
      <c r="F513" s="37"/>
      <c r="G513" s="38"/>
      <c r="H513" s="3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95"/>
      <c r="F514" s="37"/>
      <c r="G514" s="38"/>
      <c r="H514" s="3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95"/>
      <c r="F515" s="37"/>
      <c r="G515" s="38"/>
      <c r="H515" s="3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95"/>
      <c r="F516" s="37"/>
      <c r="G516" s="38"/>
      <c r="H516" s="3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95"/>
      <c r="F517" s="37"/>
      <c r="G517" s="38"/>
      <c r="H517" s="3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95"/>
      <c r="F518" s="37"/>
      <c r="G518" s="38"/>
      <c r="H518" s="3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95"/>
      <c r="F519" s="37"/>
      <c r="G519" s="38"/>
      <c r="H519" s="3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95"/>
      <c r="F520" s="37"/>
      <c r="G520" s="38"/>
      <c r="H520" s="3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95"/>
      <c r="F521" s="37"/>
      <c r="G521" s="38"/>
      <c r="H521" s="3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95"/>
      <c r="F522" s="37"/>
      <c r="G522" s="38"/>
      <c r="H522" s="3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95"/>
      <c r="F523" s="37"/>
      <c r="G523" s="38"/>
      <c r="H523" s="3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95"/>
      <c r="F524" s="37"/>
      <c r="G524" s="38"/>
      <c r="H524" s="3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95"/>
      <c r="F525" s="37"/>
      <c r="G525" s="38"/>
      <c r="H525" s="3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95"/>
      <c r="F526" s="37"/>
      <c r="G526" s="38"/>
      <c r="H526" s="3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95"/>
      <c r="F527" s="37"/>
      <c r="G527" s="38"/>
      <c r="H527" s="3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95"/>
      <c r="F528" s="37"/>
      <c r="G528" s="38"/>
      <c r="H528" s="3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95"/>
      <c r="F529" s="37"/>
      <c r="G529" s="38"/>
      <c r="H529" s="3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95"/>
      <c r="F530" s="37"/>
      <c r="G530" s="38"/>
      <c r="H530" s="3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95"/>
      <c r="F531" s="37"/>
      <c r="G531" s="38"/>
      <c r="H531" s="3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95"/>
      <c r="F532" s="37"/>
      <c r="G532" s="38"/>
      <c r="H532" s="3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95"/>
      <c r="F533" s="37"/>
      <c r="G533" s="38"/>
      <c r="H533" s="3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95"/>
      <c r="F534" s="37"/>
      <c r="G534" s="38"/>
      <c r="H534" s="3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95"/>
      <c r="F535" s="37"/>
      <c r="G535" s="38"/>
      <c r="H535" s="3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95"/>
      <c r="F536" s="37"/>
      <c r="G536" s="38"/>
      <c r="H536" s="3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95"/>
      <c r="F537" s="37"/>
      <c r="G537" s="38"/>
      <c r="H537" s="3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95"/>
      <c r="F538" s="37"/>
      <c r="G538" s="38"/>
      <c r="H538" s="3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95"/>
      <c r="F539" s="37"/>
      <c r="G539" s="38"/>
      <c r="H539" s="3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95"/>
      <c r="F540" s="37"/>
      <c r="G540" s="38"/>
      <c r="H540" s="3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95"/>
      <c r="F541" s="37"/>
      <c r="G541" s="38"/>
      <c r="H541" s="3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95"/>
      <c r="F542" s="37"/>
      <c r="G542" s="38"/>
      <c r="H542" s="3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95"/>
      <c r="F543" s="37"/>
      <c r="G543" s="38"/>
      <c r="H543" s="3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95"/>
      <c r="F544" s="37"/>
      <c r="G544" s="38"/>
      <c r="H544" s="3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95"/>
      <c r="F545" s="37"/>
      <c r="G545" s="38"/>
      <c r="H545" s="3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95"/>
      <c r="F546" s="37"/>
      <c r="G546" s="38"/>
      <c r="H546" s="3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95"/>
      <c r="F547" s="37"/>
      <c r="G547" s="38"/>
      <c r="H547" s="3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95"/>
      <c r="F548" s="37"/>
      <c r="G548" s="38"/>
      <c r="H548" s="3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95"/>
      <c r="F549" s="37"/>
      <c r="G549" s="38"/>
      <c r="H549" s="3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95"/>
      <c r="F550" s="37"/>
      <c r="G550" s="38"/>
      <c r="H550" s="3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95"/>
      <c r="F551" s="37"/>
      <c r="G551" s="38"/>
      <c r="H551" s="3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95"/>
      <c r="F552" s="37"/>
      <c r="G552" s="38"/>
      <c r="H552" s="3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95"/>
      <c r="F553" s="37"/>
      <c r="G553" s="38"/>
      <c r="H553" s="3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95"/>
      <c r="F554" s="37"/>
      <c r="G554" s="38"/>
      <c r="H554" s="3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95"/>
      <c r="F555" s="37"/>
      <c r="G555" s="38"/>
      <c r="H555" s="3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95"/>
      <c r="F556" s="37"/>
      <c r="G556" s="38"/>
      <c r="H556" s="3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95"/>
      <c r="F557" s="37"/>
      <c r="G557" s="38"/>
      <c r="H557" s="3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95"/>
      <c r="F558" s="37"/>
      <c r="G558" s="38"/>
      <c r="H558" s="3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95"/>
      <c r="F559" s="37"/>
      <c r="G559" s="38"/>
      <c r="H559" s="3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95"/>
      <c r="F560" s="37"/>
      <c r="G560" s="38"/>
      <c r="H560" s="3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95"/>
      <c r="F561" s="37"/>
      <c r="G561" s="38"/>
      <c r="H561" s="3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95"/>
      <c r="F562" s="37"/>
      <c r="G562" s="38"/>
      <c r="H562" s="3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95"/>
      <c r="F563" s="37"/>
      <c r="G563" s="38"/>
      <c r="H563" s="3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95"/>
      <c r="F564" s="37"/>
      <c r="G564" s="38"/>
      <c r="H564" s="3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95"/>
      <c r="F565" s="37"/>
      <c r="G565" s="38"/>
      <c r="H565" s="3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95"/>
      <c r="F566" s="37"/>
      <c r="G566" s="38"/>
      <c r="H566" s="3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95"/>
      <c r="F567" s="37"/>
      <c r="G567" s="38"/>
      <c r="H567" s="3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95"/>
      <c r="F568" s="37"/>
      <c r="G568" s="38"/>
      <c r="H568" s="3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95"/>
      <c r="F569" s="37"/>
      <c r="G569" s="38"/>
      <c r="H569" s="3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95"/>
      <c r="F570" s="37"/>
      <c r="G570" s="38"/>
      <c r="H570" s="3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95"/>
      <c r="F571" s="37"/>
      <c r="G571" s="38"/>
      <c r="H571" s="3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95"/>
      <c r="F572" s="37"/>
      <c r="G572" s="38"/>
      <c r="H572" s="3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95"/>
      <c r="F573" s="37"/>
      <c r="G573" s="38"/>
      <c r="H573" s="3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95"/>
      <c r="F574" s="37"/>
      <c r="G574" s="38"/>
      <c r="H574" s="3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95"/>
      <c r="F575" s="37"/>
      <c r="G575" s="38"/>
      <c r="H575" s="3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95"/>
      <c r="F576" s="37"/>
      <c r="G576" s="38"/>
      <c r="H576" s="3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95"/>
      <c r="F577" s="37"/>
      <c r="G577" s="38"/>
      <c r="H577" s="3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95"/>
      <c r="F578" s="37"/>
      <c r="G578" s="38"/>
      <c r="H578" s="3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95"/>
      <c r="F579" s="37"/>
      <c r="G579" s="38"/>
      <c r="H579" s="3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95"/>
      <c r="F580" s="37"/>
      <c r="G580" s="38"/>
      <c r="H580" s="3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95"/>
      <c r="F581" s="37"/>
      <c r="G581" s="38"/>
      <c r="H581" s="3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95"/>
      <c r="F582" s="37"/>
      <c r="G582" s="38"/>
      <c r="H582" s="3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95"/>
      <c r="F583" s="37"/>
      <c r="G583" s="38"/>
      <c r="H583" s="3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95"/>
      <c r="F584" s="37"/>
      <c r="G584" s="38"/>
      <c r="H584" s="3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95"/>
      <c r="F585" s="37"/>
      <c r="G585" s="38"/>
      <c r="H585" s="3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95"/>
      <c r="F586" s="37"/>
      <c r="G586" s="38"/>
      <c r="H586" s="3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95"/>
      <c r="F587" s="37"/>
      <c r="G587" s="38"/>
      <c r="H587" s="3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95"/>
      <c r="F588" s="37"/>
      <c r="G588" s="38"/>
      <c r="H588" s="3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95"/>
      <c r="F589" s="37"/>
      <c r="G589" s="38"/>
      <c r="H589" s="3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95"/>
      <c r="F590" s="37"/>
      <c r="G590" s="38"/>
      <c r="H590" s="3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95"/>
      <c r="F591" s="37"/>
      <c r="G591" s="38"/>
      <c r="H591" s="3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95"/>
      <c r="F592" s="37"/>
      <c r="G592" s="38"/>
      <c r="H592" s="3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95"/>
      <c r="F593" s="37"/>
      <c r="G593" s="38"/>
      <c r="H593" s="3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95"/>
      <c r="F594" s="37"/>
      <c r="G594" s="38"/>
      <c r="H594" s="3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95"/>
      <c r="F595" s="37"/>
      <c r="G595" s="38"/>
      <c r="H595" s="3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95"/>
      <c r="F596" s="37"/>
      <c r="G596" s="38"/>
      <c r="H596" s="3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95"/>
      <c r="F597" s="37"/>
      <c r="G597" s="38"/>
      <c r="H597" s="3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95"/>
      <c r="F598" s="37"/>
      <c r="G598" s="38"/>
      <c r="H598" s="3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95"/>
      <c r="F599" s="37"/>
      <c r="G599" s="38"/>
      <c r="H599" s="3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95"/>
      <c r="F600" s="37"/>
      <c r="G600" s="38"/>
      <c r="H600" s="3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95"/>
      <c r="F601" s="37"/>
      <c r="G601" s="38"/>
      <c r="H601" s="3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95"/>
      <c r="F602" s="37"/>
      <c r="G602" s="38"/>
      <c r="H602" s="3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95"/>
      <c r="F603" s="37"/>
      <c r="G603" s="38"/>
      <c r="H603" s="3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95"/>
      <c r="F604" s="37"/>
      <c r="G604" s="38"/>
      <c r="H604" s="3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95"/>
      <c r="F605" s="37"/>
      <c r="G605" s="38"/>
      <c r="H605" s="3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95"/>
      <c r="F606" s="37"/>
      <c r="G606" s="38"/>
      <c r="H606" s="3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95"/>
      <c r="F607" s="37"/>
      <c r="G607" s="38"/>
      <c r="H607" s="3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95"/>
      <c r="F608" s="37"/>
      <c r="G608" s="38"/>
      <c r="H608" s="3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95"/>
      <c r="F609" s="37"/>
      <c r="G609" s="38"/>
      <c r="H609" s="3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95"/>
      <c r="F610" s="37"/>
      <c r="G610" s="38"/>
      <c r="H610" s="3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95"/>
      <c r="F611" s="37"/>
      <c r="G611" s="38"/>
      <c r="H611" s="3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95"/>
      <c r="F612" s="37"/>
      <c r="G612" s="38"/>
      <c r="H612" s="3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95"/>
      <c r="F613" s="37"/>
      <c r="G613" s="38"/>
      <c r="H613" s="3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95"/>
      <c r="F614" s="37"/>
      <c r="G614" s="38"/>
      <c r="H614" s="3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95"/>
      <c r="F615" s="37"/>
      <c r="G615" s="38"/>
      <c r="H615" s="3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95"/>
      <c r="F616" s="37"/>
      <c r="G616" s="38"/>
      <c r="H616" s="3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95"/>
      <c r="F617" s="37"/>
      <c r="G617" s="38"/>
      <c r="H617" s="3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95"/>
      <c r="F618" s="37"/>
      <c r="G618" s="38"/>
      <c r="H618" s="3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95"/>
      <c r="F619" s="37"/>
      <c r="G619" s="38"/>
      <c r="H619" s="3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95"/>
      <c r="F620" s="37"/>
      <c r="G620" s="38"/>
      <c r="H620" s="3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95"/>
      <c r="F621" s="37"/>
      <c r="G621" s="38"/>
      <c r="H621" s="3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95"/>
      <c r="F622" s="37"/>
      <c r="G622" s="38"/>
      <c r="H622" s="3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95"/>
      <c r="F623" s="37"/>
      <c r="G623" s="38"/>
      <c r="H623" s="3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95"/>
      <c r="F624" s="37"/>
      <c r="G624" s="38"/>
      <c r="H624" s="3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95"/>
      <c r="F625" s="37"/>
      <c r="G625" s="38"/>
      <c r="H625" s="3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95"/>
      <c r="F626" s="37"/>
      <c r="G626" s="38"/>
      <c r="H626" s="3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95"/>
      <c r="F627" s="37"/>
      <c r="G627" s="38"/>
      <c r="H627" s="3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95"/>
      <c r="F628" s="37"/>
      <c r="G628" s="38"/>
      <c r="H628" s="3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95"/>
      <c r="F629" s="37"/>
      <c r="G629" s="38"/>
      <c r="H629" s="3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95"/>
      <c r="F630" s="37"/>
      <c r="G630" s="38"/>
      <c r="H630" s="3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95"/>
      <c r="F631" s="37"/>
      <c r="G631" s="38"/>
      <c r="H631" s="3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95"/>
      <c r="F632" s="37"/>
      <c r="G632" s="38"/>
      <c r="H632" s="3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95"/>
      <c r="F633" s="37"/>
      <c r="G633" s="38"/>
      <c r="H633" s="3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95"/>
      <c r="F634" s="37"/>
      <c r="G634" s="38"/>
      <c r="H634" s="3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95"/>
      <c r="F635" s="37"/>
      <c r="G635" s="38"/>
      <c r="H635" s="3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95"/>
      <c r="F636" s="37"/>
      <c r="G636" s="38"/>
      <c r="H636" s="3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95"/>
      <c r="F637" s="37"/>
      <c r="G637" s="38"/>
      <c r="H637" s="3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95"/>
      <c r="F638" s="37"/>
      <c r="G638" s="38"/>
      <c r="H638" s="3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95"/>
      <c r="F639" s="37"/>
      <c r="G639" s="38"/>
      <c r="H639" s="3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95"/>
      <c r="F640" s="37"/>
      <c r="G640" s="38"/>
      <c r="H640" s="3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95"/>
      <c r="F641" s="37"/>
      <c r="G641" s="38"/>
      <c r="H641" s="3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95"/>
      <c r="F642" s="37"/>
      <c r="G642" s="38"/>
      <c r="H642" s="3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95"/>
      <c r="F643" s="37"/>
      <c r="G643" s="38"/>
      <c r="H643" s="3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95"/>
      <c r="F644" s="37"/>
      <c r="G644" s="38"/>
      <c r="H644" s="3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95"/>
      <c r="F645" s="37"/>
      <c r="G645" s="38"/>
      <c r="H645" s="3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95"/>
      <c r="F646" s="37"/>
      <c r="G646" s="38"/>
      <c r="H646" s="3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95"/>
      <c r="F647" s="37"/>
      <c r="G647" s="38"/>
      <c r="H647" s="3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95"/>
      <c r="F648" s="37"/>
      <c r="G648" s="38"/>
      <c r="H648" s="3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95"/>
      <c r="F649" s="37"/>
      <c r="G649" s="38"/>
      <c r="H649" s="3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95"/>
      <c r="F650" s="37"/>
      <c r="G650" s="38"/>
      <c r="H650" s="3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95"/>
      <c r="F651" s="37"/>
      <c r="G651" s="38"/>
      <c r="H651" s="3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95"/>
      <c r="F652" s="37"/>
      <c r="G652" s="38"/>
      <c r="H652" s="3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95"/>
      <c r="F653" s="37"/>
      <c r="G653" s="38"/>
      <c r="H653" s="3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95"/>
      <c r="F654" s="37"/>
      <c r="G654" s="38"/>
      <c r="H654" s="3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95"/>
      <c r="F655" s="37"/>
      <c r="G655" s="38"/>
      <c r="H655" s="3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95"/>
      <c r="F656" s="37"/>
      <c r="G656" s="38"/>
      <c r="H656" s="3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95"/>
      <c r="F657" s="37"/>
      <c r="G657" s="38"/>
      <c r="H657" s="3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95"/>
      <c r="F658" s="37"/>
      <c r="G658" s="38"/>
      <c r="H658" s="3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95"/>
      <c r="F659" s="37"/>
      <c r="G659" s="38"/>
      <c r="H659" s="3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95"/>
      <c r="F660" s="37"/>
      <c r="G660" s="38"/>
      <c r="H660" s="3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95"/>
      <c r="F661" s="37"/>
      <c r="G661" s="38"/>
      <c r="H661" s="3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95"/>
      <c r="F662" s="37"/>
      <c r="G662" s="38"/>
      <c r="H662" s="3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95"/>
      <c r="F663" s="37"/>
      <c r="G663" s="38"/>
      <c r="H663" s="3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95"/>
      <c r="F664" s="37"/>
      <c r="G664" s="38"/>
      <c r="H664" s="3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95"/>
      <c r="F665" s="37"/>
      <c r="G665" s="38"/>
      <c r="H665" s="3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95"/>
      <c r="F666" s="37"/>
      <c r="G666" s="38"/>
      <c r="H666" s="3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95"/>
      <c r="F667" s="37"/>
      <c r="G667" s="38"/>
      <c r="H667" s="3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95"/>
      <c r="F668" s="37"/>
      <c r="G668" s="38"/>
      <c r="H668" s="3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95"/>
      <c r="F669" s="37"/>
      <c r="G669" s="38"/>
      <c r="H669" s="3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95"/>
      <c r="F670" s="37"/>
      <c r="G670" s="38"/>
      <c r="H670" s="3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95"/>
      <c r="F671" s="37"/>
      <c r="G671" s="38"/>
      <c r="H671" s="3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95"/>
      <c r="F672" s="37"/>
      <c r="G672" s="38"/>
      <c r="H672" s="3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95"/>
      <c r="F673" s="37"/>
      <c r="G673" s="38"/>
      <c r="H673" s="3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95"/>
      <c r="F674" s="37"/>
      <c r="G674" s="38"/>
      <c r="H674" s="3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95"/>
      <c r="F675" s="37"/>
      <c r="G675" s="38"/>
      <c r="H675" s="3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95"/>
      <c r="F676" s="37"/>
      <c r="G676" s="38"/>
      <c r="H676" s="3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95"/>
      <c r="F677" s="37"/>
      <c r="G677" s="38"/>
      <c r="H677" s="3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95"/>
      <c r="F678" s="37"/>
      <c r="G678" s="38"/>
      <c r="H678" s="3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95"/>
      <c r="F679" s="37"/>
      <c r="G679" s="38"/>
      <c r="H679" s="3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95"/>
      <c r="F680" s="37"/>
      <c r="G680" s="38"/>
      <c r="H680" s="3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95"/>
      <c r="F681" s="37"/>
      <c r="G681" s="38"/>
      <c r="H681" s="3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95"/>
      <c r="F682" s="37"/>
      <c r="G682" s="38"/>
      <c r="H682" s="3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95"/>
      <c r="F683" s="37"/>
      <c r="G683" s="38"/>
      <c r="H683" s="3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95"/>
      <c r="F684" s="37"/>
      <c r="G684" s="38"/>
      <c r="H684" s="3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95"/>
      <c r="F685" s="37"/>
      <c r="G685" s="38"/>
      <c r="H685" s="3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95"/>
      <c r="F686" s="37"/>
      <c r="G686" s="38"/>
      <c r="H686" s="3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95"/>
      <c r="F687" s="37"/>
      <c r="G687" s="38"/>
      <c r="H687" s="3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95"/>
      <c r="F688" s="37"/>
      <c r="G688" s="38"/>
      <c r="H688" s="3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95"/>
      <c r="F689" s="37"/>
      <c r="G689" s="38"/>
      <c r="H689" s="3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95"/>
      <c r="F690" s="37"/>
      <c r="G690" s="38"/>
      <c r="H690" s="3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95"/>
      <c r="F691" s="37"/>
      <c r="G691" s="38"/>
      <c r="H691" s="3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95"/>
      <c r="F692" s="37"/>
      <c r="G692" s="38"/>
      <c r="H692" s="3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95"/>
      <c r="F693" s="37"/>
      <c r="G693" s="38"/>
      <c r="H693" s="3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95"/>
      <c r="F694" s="37"/>
      <c r="G694" s="38"/>
      <c r="H694" s="3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95"/>
      <c r="F695" s="37"/>
      <c r="G695" s="38"/>
      <c r="H695" s="3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95"/>
      <c r="F696" s="37"/>
      <c r="G696" s="38"/>
      <c r="H696" s="3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95"/>
      <c r="F697" s="37"/>
      <c r="G697" s="38"/>
      <c r="H697" s="3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95"/>
      <c r="F698" s="37"/>
      <c r="G698" s="38"/>
      <c r="H698" s="3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95"/>
      <c r="F699" s="37"/>
      <c r="G699" s="38"/>
      <c r="H699" s="3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95"/>
      <c r="F700" s="37"/>
      <c r="G700" s="38"/>
      <c r="H700" s="3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95"/>
      <c r="F701" s="37"/>
      <c r="G701" s="38"/>
      <c r="H701" s="3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95"/>
      <c r="F702" s="37"/>
      <c r="G702" s="38"/>
      <c r="H702" s="3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95"/>
      <c r="F703" s="37"/>
      <c r="G703" s="38"/>
      <c r="H703" s="3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95"/>
      <c r="F704" s="37"/>
      <c r="G704" s="38"/>
      <c r="H704" s="3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95"/>
      <c r="F705" s="37"/>
      <c r="G705" s="38"/>
      <c r="H705" s="3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95"/>
      <c r="F706" s="37"/>
      <c r="G706" s="38"/>
      <c r="H706" s="3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95"/>
      <c r="F707" s="37"/>
      <c r="G707" s="38"/>
      <c r="H707" s="3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95"/>
      <c r="F708" s="37"/>
      <c r="G708" s="38"/>
      <c r="H708" s="3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95"/>
      <c r="F709" s="37"/>
      <c r="G709" s="38"/>
      <c r="H709" s="3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95"/>
      <c r="F710" s="37"/>
      <c r="G710" s="38"/>
      <c r="H710" s="3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95"/>
      <c r="F711" s="37"/>
      <c r="G711" s="38"/>
      <c r="H711" s="3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95"/>
      <c r="F712" s="37"/>
      <c r="G712" s="38"/>
      <c r="H712" s="3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95"/>
      <c r="F713" s="37"/>
      <c r="G713" s="38"/>
      <c r="H713" s="3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95"/>
      <c r="F714" s="37"/>
      <c r="G714" s="38"/>
      <c r="H714" s="3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95"/>
      <c r="F715" s="37"/>
      <c r="G715" s="38"/>
      <c r="H715" s="3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95"/>
      <c r="F716" s="37"/>
      <c r="G716" s="38"/>
      <c r="H716" s="3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95"/>
      <c r="F717" s="37"/>
      <c r="G717" s="38"/>
      <c r="H717" s="3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95"/>
      <c r="F718" s="37"/>
      <c r="G718" s="38"/>
      <c r="H718" s="3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95"/>
      <c r="F719" s="37"/>
      <c r="G719" s="38"/>
      <c r="H719" s="3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95"/>
      <c r="F720" s="37"/>
      <c r="G720" s="38"/>
      <c r="H720" s="3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95"/>
      <c r="F721" s="37"/>
      <c r="G721" s="38"/>
      <c r="H721" s="3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95"/>
      <c r="F722" s="37"/>
      <c r="G722" s="38"/>
      <c r="H722" s="3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95"/>
      <c r="F723" s="37"/>
      <c r="G723" s="38"/>
      <c r="H723" s="3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95"/>
      <c r="F724" s="37"/>
      <c r="G724" s="38"/>
      <c r="H724" s="3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95"/>
      <c r="F725" s="37"/>
      <c r="G725" s="38"/>
      <c r="H725" s="3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95"/>
      <c r="F726" s="37"/>
      <c r="G726" s="38"/>
      <c r="H726" s="3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95"/>
      <c r="F727" s="37"/>
      <c r="G727" s="38"/>
      <c r="H727" s="3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95"/>
      <c r="F728" s="37"/>
      <c r="G728" s="38"/>
      <c r="H728" s="3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95"/>
      <c r="F729" s="37"/>
      <c r="G729" s="38"/>
      <c r="H729" s="3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95"/>
      <c r="F730" s="37"/>
      <c r="G730" s="38"/>
      <c r="H730" s="3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95"/>
      <c r="F731" s="37"/>
      <c r="G731" s="38"/>
      <c r="H731" s="3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95"/>
      <c r="F732" s="37"/>
      <c r="G732" s="38"/>
      <c r="H732" s="3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95"/>
      <c r="F733" s="37"/>
      <c r="G733" s="38"/>
      <c r="H733" s="3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95"/>
      <c r="F734" s="37"/>
      <c r="G734" s="38"/>
      <c r="H734" s="3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95"/>
      <c r="F735" s="37"/>
      <c r="G735" s="38"/>
      <c r="H735" s="3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95"/>
      <c r="F736" s="37"/>
      <c r="G736" s="38"/>
      <c r="H736" s="3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95"/>
      <c r="F737" s="37"/>
      <c r="G737" s="38"/>
      <c r="H737" s="3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95"/>
      <c r="F738" s="37"/>
      <c r="G738" s="38"/>
      <c r="H738" s="3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95"/>
      <c r="F739" s="37"/>
      <c r="G739" s="38"/>
      <c r="H739" s="3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95"/>
      <c r="F740" s="37"/>
      <c r="G740" s="38"/>
      <c r="H740" s="3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95"/>
      <c r="F741" s="37"/>
      <c r="G741" s="38"/>
      <c r="H741" s="3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95"/>
      <c r="F742" s="37"/>
      <c r="G742" s="38"/>
      <c r="H742" s="3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95"/>
      <c r="F743" s="37"/>
      <c r="G743" s="38"/>
      <c r="H743" s="3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95"/>
      <c r="F744" s="37"/>
      <c r="G744" s="38"/>
      <c r="H744" s="3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95"/>
      <c r="F745" s="37"/>
      <c r="G745" s="38"/>
      <c r="H745" s="3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95"/>
      <c r="F746" s="37"/>
      <c r="G746" s="38"/>
      <c r="H746" s="3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95"/>
      <c r="F747" s="37"/>
      <c r="G747" s="38"/>
      <c r="H747" s="3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95"/>
      <c r="F748" s="37"/>
      <c r="G748" s="38"/>
      <c r="H748" s="3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95"/>
      <c r="F749" s="37"/>
      <c r="G749" s="38"/>
      <c r="H749" s="3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95"/>
      <c r="F750" s="37"/>
      <c r="G750" s="38"/>
      <c r="H750" s="3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95"/>
      <c r="F751" s="37"/>
      <c r="G751" s="38"/>
      <c r="H751" s="3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95"/>
      <c r="F752" s="37"/>
      <c r="G752" s="38"/>
      <c r="H752" s="3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95"/>
      <c r="F753" s="37"/>
      <c r="G753" s="38"/>
      <c r="H753" s="3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95"/>
      <c r="F754" s="37"/>
      <c r="G754" s="38"/>
      <c r="H754" s="3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95"/>
      <c r="F755" s="37"/>
      <c r="G755" s="38"/>
      <c r="H755" s="3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95"/>
      <c r="F756" s="37"/>
      <c r="G756" s="38"/>
      <c r="H756" s="3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95"/>
      <c r="F757" s="37"/>
      <c r="G757" s="38"/>
      <c r="H757" s="3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95"/>
      <c r="F758" s="37"/>
      <c r="G758" s="38"/>
      <c r="H758" s="3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95"/>
      <c r="F759" s="37"/>
      <c r="G759" s="38"/>
      <c r="H759" s="3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95"/>
      <c r="F760" s="37"/>
      <c r="G760" s="38"/>
      <c r="H760" s="3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95"/>
      <c r="F761" s="37"/>
      <c r="G761" s="38"/>
      <c r="H761" s="3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95"/>
      <c r="F762" s="37"/>
      <c r="G762" s="38"/>
      <c r="H762" s="3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95"/>
      <c r="F763" s="37"/>
      <c r="G763" s="38"/>
      <c r="H763" s="3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95"/>
      <c r="F764" s="37"/>
      <c r="G764" s="38"/>
      <c r="H764" s="3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95"/>
      <c r="F765" s="37"/>
      <c r="G765" s="38"/>
      <c r="H765" s="3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95"/>
      <c r="F766" s="37"/>
      <c r="G766" s="38"/>
      <c r="H766" s="3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95"/>
      <c r="F767" s="37"/>
      <c r="G767" s="38"/>
      <c r="H767" s="3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95"/>
      <c r="F768" s="37"/>
      <c r="G768" s="38"/>
      <c r="H768" s="3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95"/>
      <c r="F769" s="37"/>
      <c r="G769" s="38"/>
      <c r="H769" s="3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95"/>
      <c r="F770" s="37"/>
      <c r="G770" s="38"/>
      <c r="H770" s="3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95"/>
      <c r="F771" s="37"/>
      <c r="G771" s="38"/>
      <c r="H771" s="3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95"/>
      <c r="F772" s="37"/>
      <c r="G772" s="38"/>
      <c r="H772" s="3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95"/>
      <c r="F773" s="37"/>
      <c r="G773" s="38"/>
      <c r="H773" s="3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95"/>
      <c r="F774" s="37"/>
      <c r="G774" s="38"/>
      <c r="H774" s="3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95"/>
      <c r="F775" s="37"/>
      <c r="G775" s="38"/>
      <c r="H775" s="3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95"/>
      <c r="F776" s="37"/>
      <c r="G776" s="38"/>
      <c r="H776" s="3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95"/>
      <c r="F777" s="37"/>
      <c r="G777" s="38"/>
      <c r="H777" s="3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95"/>
      <c r="F778" s="37"/>
      <c r="G778" s="38"/>
      <c r="H778" s="3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95"/>
      <c r="F779" s="37"/>
      <c r="G779" s="38"/>
      <c r="H779" s="3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95"/>
      <c r="F780" s="37"/>
      <c r="G780" s="38"/>
      <c r="H780" s="3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95"/>
      <c r="F781" s="37"/>
      <c r="G781" s="38"/>
      <c r="H781" s="3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95"/>
      <c r="F782" s="37"/>
      <c r="G782" s="38"/>
      <c r="H782" s="3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95"/>
      <c r="F783" s="37"/>
      <c r="G783" s="38"/>
      <c r="H783" s="3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95"/>
      <c r="F784" s="37"/>
      <c r="G784" s="38"/>
      <c r="H784" s="3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95"/>
      <c r="F785" s="37"/>
      <c r="G785" s="38"/>
      <c r="H785" s="3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95"/>
      <c r="F786" s="37"/>
      <c r="G786" s="38"/>
      <c r="H786" s="3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95"/>
      <c r="F787" s="37"/>
      <c r="G787" s="38"/>
      <c r="H787" s="3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95"/>
      <c r="F788" s="37"/>
      <c r="G788" s="38"/>
      <c r="H788" s="3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95"/>
      <c r="F789" s="37"/>
      <c r="G789" s="38"/>
      <c r="H789" s="3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95"/>
      <c r="F790" s="37"/>
      <c r="G790" s="38"/>
      <c r="H790" s="3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95"/>
      <c r="F791" s="37"/>
      <c r="G791" s="38"/>
      <c r="H791" s="3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95"/>
      <c r="F792" s="37"/>
      <c r="G792" s="38"/>
      <c r="H792" s="3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95"/>
      <c r="F793" s="37"/>
      <c r="G793" s="38"/>
      <c r="H793" s="3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95"/>
      <c r="F794" s="37"/>
      <c r="G794" s="38"/>
      <c r="H794" s="3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95"/>
      <c r="F795" s="37"/>
      <c r="G795" s="38"/>
      <c r="H795" s="3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95"/>
      <c r="F796" s="37"/>
      <c r="G796" s="38"/>
      <c r="H796" s="3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95"/>
      <c r="F797" s="37"/>
      <c r="G797" s="38"/>
      <c r="H797" s="3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95"/>
      <c r="F798" s="37"/>
      <c r="G798" s="38"/>
      <c r="H798" s="3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95"/>
      <c r="F799" s="37"/>
      <c r="G799" s="38"/>
      <c r="H799" s="3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95"/>
      <c r="F800" s="37"/>
      <c r="G800" s="38"/>
      <c r="H800" s="3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95"/>
      <c r="F801" s="37"/>
      <c r="G801" s="38"/>
      <c r="H801" s="3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95"/>
      <c r="F802" s="37"/>
      <c r="G802" s="38"/>
      <c r="H802" s="3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95"/>
      <c r="F803" s="37"/>
      <c r="G803" s="38"/>
      <c r="H803" s="3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95"/>
      <c r="F804" s="37"/>
      <c r="G804" s="38"/>
      <c r="H804" s="3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95"/>
      <c r="F805" s="37"/>
      <c r="G805" s="38"/>
      <c r="H805" s="3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95"/>
      <c r="F806" s="37"/>
      <c r="G806" s="38"/>
      <c r="H806" s="3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95"/>
      <c r="F807" s="37"/>
      <c r="G807" s="38"/>
      <c r="H807" s="3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95"/>
      <c r="F808" s="37"/>
      <c r="G808" s="38"/>
      <c r="H808" s="3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95"/>
      <c r="F809" s="37"/>
      <c r="G809" s="38"/>
      <c r="H809" s="3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95"/>
      <c r="F810" s="37"/>
      <c r="G810" s="38"/>
      <c r="H810" s="3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95"/>
      <c r="F811" s="37"/>
      <c r="G811" s="38"/>
      <c r="H811" s="3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95"/>
      <c r="F812" s="37"/>
      <c r="G812" s="38"/>
      <c r="H812" s="3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95"/>
      <c r="F813" s="37"/>
      <c r="G813" s="38"/>
      <c r="H813" s="3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95"/>
      <c r="F814" s="37"/>
      <c r="G814" s="38"/>
      <c r="H814" s="3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95"/>
      <c r="F815" s="37"/>
      <c r="G815" s="38"/>
      <c r="H815" s="3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95"/>
      <c r="F816" s="37"/>
      <c r="G816" s="38"/>
      <c r="H816" s="3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95"/>
      <c r="F817" s="37"/>
      <c r="G817" s="38"/>
      <c r="H817" s="3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95"/>
      <c r="F818" s="37"/>
      <c r="G818" s="38"/>
      <c r="H818" s="3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95"/>
      <c r="F819" s="37"/>
      <c r="G819" s="38"/>
      <c r="H819" s="3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95"/>
      <c r="F820" s="37"/>
      <c r="G820" s="38"/>
      <c r="H820" s="3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95"/>
      <c r="F821" s="37"/>
      <c r="G821" s="38"/>
      <c r="H821" s="3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95"/>
      <c r="F822" s="37"/>
      <c r="G822" s="38"/>
      <c r="H822" s="3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95"/>
      <c r="F823" s="37"/>
      <c r="G823" s="38"/>
      <c r="H823" s="3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95"/>
      <c r="F824" s="37"/>
      <c r="G824" s="38"/>
      <c r="H824" s="3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95"/>
      <c r="F825" s="37"/>
      <c r="G825" s="38"/>
      <c r="H825" s="3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95"/>
      <c r="F826" s="37"/>
      <c r="G826" s="38"/>
      <c r="H826" s="3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95"/>
      <c r="F827" s="37"/>
      <c r="G827" s="38"/>
      <c r="H827" s="3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95"/>
      <c r="F828" s="37"/>
      <c r="G828" s="38"/>
      <c r="H828" s="3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95"/>
      <c r="F829" s="37"/>
      <c r="G829" s="38"/>
      <c r="H829" s="3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95"/>
      <c r="F830" s="37"/>
      <c r="G830" s="38"/>
      <c r="H830" s="3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95"/>
      <c r="F831" s="37"/>
      <c r="G831" s="38"/>
      <c r="H831" s="3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95"/>
      <c r="F832" s="37"/>
      <c r="G832" s="38"/>
      <c r="H832" s="3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95"/>
      <c r="F833" s="37"/>
      <c r="G833" s="38"/>
      <c r="H833" s="3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95"/>
      <c r="F834" s="37"/>
      <c r="G834" s="38"/>
      <c r="H834" s="3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95"/>
      <c r="F835" s="37"/>
      <c r="G835" s="38"/>
      <c r="H835" s="3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95"/>
      <c r="F836" s="37"/>
      <c r="G836" s="38"/>
      <c r="H836" s="3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95"/>
      <c r="F837" s="37"/>
      <c r="G837" s="38"/>
      <c r="H837" s="3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95"/>
      <c r="F838" s="37"/>
      <c r="G838" s="38"/>
      <c r="H838" s="3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95"/>
      <c r="F839" s="37"/>
      <c r="G839" s="38"/>
      <c r="H839" s="3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95"/>
      <c r="F840" s="37"/>
      <c r="G840" s="38"/>
      <c r="H840" s="3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95"/>
      <c r="F841" s="37"/>
      <c r="G841" s="38"/>
      <c r="H841" s="3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95"/>
      <c r="F842" s="37"/>
      <c r="G842" s="38"/>
      <c r="H842" s="3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95"/>
      <c r="F843" s="37"/>
      <c r="G843" s="38"/>
      <c r="H843" s="3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95"/>
      <c r="F844" s="37"/>
      <c r="G844" s="38"/>
      <c r="H844" s="3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95"/>
      <c r="F845" s="37"/>
      <c r="G845" s="38"/>
      <c r="H845" s="3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95"/>
      <c r="F846" s="37"/>
      <c r="G846" s="38"/>
      <c r="H846" s="3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95"/>
      <c r="F847" s="37"/>
      <c r="G847" s="38"/>
      <c r="H847" s="3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95"/>
      <c r="F848" s="37"/>
      <c r="G848" s="38"/>
      <c r="H848" s="3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95"/>
      <c r="F849" s="37"/>
      <c r="G849" s="38"/>
      <c r="H849" s="3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95"/>
      <c r="F850" s="37"/>
      <c r="G850" s="38"/>
      <c r="H850" s="3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95"/>
      <c r="F851" s="37"/>
      <c r="G851" s="38"/>
      <c r="H851" s="3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95"/>
      <c r="F852" s="37"/>
      <c r="G852" s="38"/>
      <c r="H852" s="3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95"/>
      <c r="F853" s="37"/>
      <c r="G853" s="38"/>
      <c r="H853" s="3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95"/>
      <c r="F854" s="37"/>
      <c r="G854" s="38"/>
      <c r="H854" s="3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95"/>
      <c r="F855" s="37"/>
      <c r="G855" s="38"/>
      <c r="H855" s="3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95"/>
      <c r="F856" s="37"/>
      <c r="G856" s="38"/>
      <c r="H856" s="3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95"/>
      <c r="F857" s="37"/>
      <c r="G857" s="38"/>
      <c r="H857" s="3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95"/>
      <c r="F858" s="37"/>
      <c r="G858" s="38"/>
      <c r="H858" s="3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95"/>
      <c r="F859" s="37"/>
      <c r="G859" s="38"/>
      <c r="H859" s="3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95"/>
      <c r="F860" s="37"/>
      <c r="G860" s="38"/>
      <c r="H860" s="3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95"/>
      <c r="F861" s="37"/>
      <c r="G861" s="38"/>
      <c r="H861" s="3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95"/>
      <c r="F862" s="37"/>
      <c r="G862" s="38"/>
      <c r="H862" s="3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95"/>
      <c r="F863" s="37"/>
      <c r="G863" s="38"/>
      <c r="H863" s="3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95"/>
      <c r="F864" s="37"/>
      <c r="G864" s="38"/>
      <c r="H864" s="3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95"/>
      <c r="F865" s="37"/>
      <c r="G865" s="38"/>
      <c r="H865" s="3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95"/>
      <c r="F866" s="37"/>
      <c r="G866" s="38"/>
      <c r="H866" s="3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95"/>
      <c r="F867" s="37"/>
      <c r="G867" s="38"/>
      <c r="H867" s="3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95"/>
      <c r="F868" s="37"/>
      <c r="G868" s="38"/>
      <c r="H868" s="3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95"/>
      <c r="F869" s="37"/>
      <c r="G869" s="38"/>
      <c r="H869" s="3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95"/>
      <c r="F870" s="37"/>
      <c r="G870" s="38"/>
      <c r="H870" s="3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95"/>
      <c r="F871" s="37"/>
      <c r="G871" s="38"/>
      <c r="H871" s="3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95"/>
      <c r="F872" s="37"/>
      <c r="G872" s="38"/>
      <c r="H872" s="3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95"/>
      <c r="F873" s="37"/>
      <c r="G873" s="38"/>
      <c r="H873" s="3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95"/>
      <c r="F874" s="37"/>
      <c r="G874" s="38"/>
      <c r="H874" s="3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95"/>
      <c r="F875" s="37"/>
      <c r="G875" s="38"/>
      <c r="H875" s="3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95"/>
      <c r="F876" s="37"/>
      <c r="G876" s="38"/>
      <c r="H876" s="3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95"/>
      <c r="F877" s="37"/>
      <c r="G877" s="38"/>
      <c r="H877" s="3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95"/>
      <c r="F878" s="37"/>
      <c r="G878" s="38"/>
      <c r="H878" s="3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95"/>
      <c r="F879" s="37"/>
      <c r="G879" s="38"/>
      <c r="H879" s="3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95"/>
      <c r="F880" s="37"/>
      <c r="G880" s="38"/>
      <c r="H880" s="3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95"/>
      <c r="F881" s="37"/>
      <c r="G881" s="38"/>
      <c r="H881" s="3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95"/>
      <c r="F882" s="37"/>
      <c r="G882" s="38"/>
      <c r="H882" s="3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95"/>
      <c r="F883" s="37"/>
      <c r="G883" s="38"/>
      <c r="H883" s="3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95"/>
      <c r="F884" s="37"/>
      <c r="G884" s="38"/>
      <c r="H884" s="3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95"/>
      <c r="F885" s="37"/>
      <c r="G885" s="38"/>
      <c r="H885" s="3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95"/>
      <c r="F886" s="37"/>
      <c r="G886" s="38"/>
      <c r="H886" s="3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95"/>
      <c r="F887" s="37"/>
      <c r="G887" s="38"/>
      <c r="H887" s="3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95"/>
      <c r="F888" s="37"/>
      <c r="G888" s="38"/>
      <c r="H888" s="3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95"/>
      <c r="F889" s="37"/>
      <c r="G889" s="38"/>
      <c r="H889" s="3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95"/>
      <c r="F890" s="37"/>
      <c r="G890" s="38"/>
      <c r="H890" s="3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95"/>
      <c r="F891" s="37"/>
      <c r="G891" s="38"/>
      <c r="H891" s="3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95"/>
      <c r="F892" s="37"/>
      <c r="G892" s="38"/>
      <c r="H892" s="3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95"/>
      <c r="F893" s="37"/>
      <c r="G893" s="38"/>
      <c r="H893" s="3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95"/>
      <c r="F894" s="37"/>
      <c r="G894" s="38"/>
      <c r="H894" s="3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95"/>
      <c r="F895" s="37"/>
      <c r="G895" s="38"/>
      <c r="H895" s="3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95"/>
      <c r="F896" s="37"/>
      <c r="G896" s="38"/>
      <c r="H896" s="3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95"/>
      <c r="F897" s="37"/>
      <c r="G897" s="38"/>
      <c r="H897" s="3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95"/>
      <c r="F898" s="37"/>
      <c r="G898" s="38"/>
      <c r="H898" s="3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95"/>
      <c r="F899" s="37"/>
      <c r="G899" s="38"/>
      <c r="H899" s="3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95"/>
      <c r="F900" s="37"/>
      <c r="G900" s="38"/>
      <c r="H900" s="3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95"/>
      <c r="F901" s="37"/>
      <c r="G901" s="38"/>
      <c r="H901" s="3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95"/>
      <c r="F902" s="37"/>
      <c r="G902" s="38"/>
      <c r="H902" s="3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95"/>
      <c r="F903" s="37"/>
      <c r="G903" s="38"/>
      <c r="H903" s="3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95"/>
      <c r="F904" s="37"/>
      <c r="G904" s="38"/>
      <c r="H904" s="3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95"/>
      <c r="F905" s="37"/>
      <c r="G905" s="38"/>
      <c r="H905" s="3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95"/>
      <c r="F906" s="37"/>
      <c r="G906" s="38"/>
      <c r="H906" s="3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95"/>
      <c r="F907" s="37"/>
      <c r="G907" s="38"/>
      <c r="H907" s="3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95"/>
      <c r="F908" s="37"/>
      <c r="G908" s="38"/>
      <c r="H908" s="3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95"/>
      <c r="F909" s="37"/>
      <c r="G909" s="38"/>
      <c r="H909" s="3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95"/>
      <c r="F910" s="37"/>
      <c r="G910" s="38"/>
      <c r="H910" s="3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95"/>
      <c r="F911" s="37"/>
      <c r="G911" s="38"/>
      <c r="H911" s="3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95"/>
      <c r="F912" s="37"/>
      <c r="G912" s="38"/>
      <c r="H912" s="3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95"/>
      <c r="F913" s="37"/>
      <c r="G913" s="38"/>
      <c r="H913" s="3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95"/>
      <c r="F914" s="37"/>
      <c r="G914" s="38"/>
      <c r="H914" s="3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95"/>
      <c r="F915" s="37"/>
      <c r="G915" s="38"/>
      <c r="H915" s="3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95"/>
      <c r="F916" s="37"/>
      <c r="G916" s="38"/>
      <c r="H916" s="3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95"/>
      <c r="F917" s="37"/>
      <c r="G917" s="38"/>
      <c r="H917" s="3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95"/>
      <c r="F918" s="37"/>
      <c r="G918" s="38"/>
      <c r="H918" s="3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95"/>
      <c r="F919" s="37"/>
      <c r="G919" s="38"/>
      <c r="H919" s="3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95"/>
      <c r="F920" s="37"/>
      <c r="G920" s="38"/>
      <c r="H920" s="3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95"/>
      <c r="F921" s="37"/>
      <c r="G921" s="38"/>
      <c r="H921" s="3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95"/>
      <c r="F922" s="37"/>
      <c r="G922" s="38"/>
      <c r="H922" s="3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95"/>
      <c r="F923" s="37"/>
      <c r="G923" s="38"/>
      <c r="H923" s="3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95"/>
      <c r="F924" s="37"/>
      <c r="G924" s="38"/>
      <c r="H924" s="3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95"/>
      <c r="F925" s="37"/>
      <c r="G925" s="38"/>
      <c r="H925" s="3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95"/>
      <c r="F926" s="37"/>
      <c r="G926" s="38"/>
      <c r="H926" s="3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95"/>
      <c r="F927" s="37"/>
      <c r="G927" s="38"/>
      <c r="H927" s="3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95"/>
      <c r="F928" s="37"/>
      <c r="G928" s="38"/>
      <c r="H928" s="3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95"/>
      <c r="F929" s="37"/>
      <c r="G929" s="38"/>
      <c r="H929" s="3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95"/>
      <c r="F930" s="37"/>
      <c r="G930" s="38"/>
      <c r="H930" s="3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95"/>
      <c r="F931" s="37"/>
      <c r="G931" s="38"/>
      <c r="H931" s="3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95"/>
      <c r="F932" s="37"/>
      <c r="G932" s="38"/>
      <c r="H932" s="3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95"/>
      <c r="F933" s="37"/>
      <c r="G933" s="38"/>
      <c r="H933" s="3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95"/>
      <c r="F934" s="37"/>
      <c r="G934" s="38"/>
      <c r="H934" s="3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95"/>
      <c r="F935" s="37"/>
      <c r="G935" s="38"/>
      <c r="H935" s="3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95"/>
      <c r="F936" s="37"/>
      <c r="G936" s="38"/>
      <c r="H936" s="3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95"/>
      <c r="F937" s="37"/>
      <c r="G937" s="38"/>
      <c r="H937" s="3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95"/>
      <c r="F938" s="37"/>
      <c r="G938" s="38"/>
      <c r="H938" s="3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95"/>
      <c r="F939" s="37"/>
      <c r="G939" s="38"/>
      <c r="H939" s="3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95"/>
      <c r="F940" s="37"/>
      <c r="G940" s="38"/>
      <c r="H940" s="3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95"/>
      <c r="F941" s="37"/>
      <c r="G941" s="38"/>
      <c r="H941" s="3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95"/>
      <c r="F942" s="37"/>
      <c r="G942" s="38"/>
      <c r="H942" s="3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95"/>
      <c r="F943" s="37"/>
      <c r="G943" s="38"/>
      <c r="H943" s="3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95"/>
      <c r="F944" s="37"/>
      <c r="G944" s="38"/>
      <c r="H944" s="3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95"/>
      <c r="F945" s="37"/>
      <c r="G945" s="38"/>
      <c r="H945" s="3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95"/>
      <c r="F946" s="37"/>
      <c r="G946" s="38"/>
      <c r="H946" s="3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95"/>
      <c r="F947" s="37"/>
      <c r="G947" s="38"/>
      <c r="H947" s="3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95"/>
      <c r="F948" s="37"/>
      <c r="G948" s="38"/>
      <c r="H948" s="3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95"/>
      <c r="F949" s="37"/>
      <c r="G949" s="38"/>
      <c r="H949" s="3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95"/>
      <c r="F950" s="37"/>
      <c r="G950" s="38"/>
      <c r="H950" s="3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95"/>
      <c r="F951" s="37"/>
      <c r="G951" s="38"/>
      <c r="H951" s="3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95"/>
      <c r="F952" s="37"/>
      <c r="G952" s="38"/>
      <c r="H952" s="3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95"/>
      <c r="F953" s="37"/>
      <c r="G953" s="38"/>
      <c r="H953" s="3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95"/>
      <c r="F954" s="37"/>
      <c r="G954" s="38"/>
      <c r="H954" s="3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95"/>
      <c r="F955" s="37"/>
      <c r="G955" s="38"/>
      <c r="H955" s="3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95"/>
      <c r="F956" s="37"/>
      <c r="G956" s="38"/>
      <c r="H956" s="3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95"/>
      <c r="F957" s="37"/>
      <c r="G957" s="38"/>
      <c r="H957" s="3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95"/>
      <c r="F958" s="37"/>
      <c r="G958" s="38"/>
      <c r="H958" s="3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95"/>
      <c r="F959" s="37"/>
      <c r="G959" s="38"/>
      <c r="H959" s="3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95"/>
      <c r="F960" s="37"/>
      <c r="G960" s="38"/>
      <c r="H960" s="3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95"/>
      <c r="F961" s="37"/>
      <c r="G961" s="38"/>
      <c r="H961" s="3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95"/>
      <c r="F962" s="37"/>
      <c r="G962" s="38"/>
      <c r="H962" s="3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95"/>
      <c r="F963" s="37"/>
      <c r="G963" s="38"/>
      <c r="H963" s="3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95"/>
      <c r="F964" s="37"/>
      <c r="G964" s="38"/>
      <c r="H964" s="3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95"/>
      <c r="F965" s="37"/>
      <c r="G965" s="38"/>
      <c r="H965" s="3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95"/>
      <c r="F966" s="37"/>
      <c r="G966" s="38"/>
      <c r="H966" s="3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95"/>
      <c r="F967" s="37"/>
      <c r="G967" s="38"/>
      <c r="H967" s="3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95"/>
      <c r="F968" s="37"/>
      <c r="G968" s="38"/>
      <c r="H968" s="3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95"/>
      <c r="F969" s="37"/>
      <c r="G969" s="38"/>
      <c r="H969" s="3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95"/>
      <c r="F970" s="37"/>
      <c r="G970" s="38"/>
      <c r="H970" s="3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95"/>
      <c r="F971" s="37"/>
      <c r="G971" s="38"/>
      <c r="H971" s="3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95"/>
      <c r="F972" s="37"/>
      <c r="G972" s="38"/>
      <c r="H972" s="3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95"/>
      <c r="F973" s="37"/>
      <c r="G973" s="38"/>
      <c r="H973" s="3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95"/>
      <c r="F974" s="37"/>
      <c r="G974" s="38"/>
      <c r="H974" s="3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95"/>
      <c r="F975" s="37"/>
      <c r="G975" s="38"/>
      <c r="H975" s="3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95"/>
      <c r="F976" s="37"/>
      <c r="G976" s="38"/>
      <c r="H976" s="3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95"/>
      <c r="F977" s="37"/>
      <c r="G977" s="38"/>
      <c r="H977" s="3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95"/>
      <c r="F978" s="37"/>
      <c r="G978" s="38"/>
      <c r="H978" s="3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95"/>
      <c r="F979" s="37"/>
      <c r="G979" s="38"/>
      <c r="H979" s="3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95"/>
      <c r="F980" s="37"/>
      <c r="G980" s="38"/>
      <c r="H980" s="3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95"/>
      <c r="F981" s="37"/>
      <c r="G981" s="38"/>
      <c r="H981" s="3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95"/>
      <c r="F982" s="37"/>
      <c r="G982" s="38"/>
      <c r="H982" s="3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95"/>
      <c r="F983" s="37"/>
      <c r="G983" s="38"/>
      <c r="H983" s="3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95"/>
      <c r="F984" s="37"/>
      <c r="G984" s="38"/>
      <c r="H984" s="3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95"/>
      <c r="F985" s="37"/>
      <c r="G985" s="38"/>
      <c r="H985" s="3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95"/>
      <c r="F986" s="37"/>
      <c r="G986" s="38"/>
      <c r="H986" s="3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95"/>
      <c r="F987" s="37"/>
      <c r="G987" s="38"/>
      <c r="H987" s="3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95"/>
      <c r="F988" s="37"/>
      <c r="G988" s="38"/>
      <c r="H988" s="3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95"/>
      <c r="F989" s="37"/>
      <c r="G989" s="38"/>
      <c r="H989" s="3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95"/>
      <c r="F990" s="37"/>
      <c r="G990" s="38"/>
      <c r="H990" s="3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95"/>
      <c r="F991" s="37"/>
      <c r="G991" s="38"/>
      <c r="H991" s="3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95"/>
      <c r="F992" s="37"/>
      <c r="G992" s="38"/>
      <c r="H992" s="3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95"/>
      <c r="F993" s="37"/>
      <c r="G993" s="38"/>
      <c r="H993" s="3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95"/>
      <c r="F994" s="37"/>
      <c r="G994" s="38"/>
      <c r="H994" s="3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95"/>
      <c r="F995" s="37"/>
      <c r="G995" s="38"/>
      <c r="H995" s="3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95"/>
      <c r="F996" s="37"/>
      <c r="G996" s="38"/>
      <c r="H996" s="3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95"/>
      <c r="F997" s="37"/>
      <c r="G997" s="38"/>
      <c r="H997" s="39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95"/>
      <c r="F998" s="37"/>
      <c r="G998" s="38"/>
      <c r="H998" s="39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95"/>
      <c r="F999" s="37"/>
      <c r="G999" s="38"/>
      <c r="H999" s="39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95"/>
      <c r="F1000" s="37"/>
      <c r="G1000" s="38"/>
      <c r="H1000" s="39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95"/>
      <c r="F1001" s="37"/>
      <c r="G1001" s="38"/>
      <c r="H1001" s="39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95"/>
      <c r="F1002" s="37"/>
      <c r="G1002" s="38"/>
      <c r="H1002" s="39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95"/>
      <c r="F1003" s="37"/>
      <c r="G1003" s="38"/>
      <c r="H1003" s="39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37"/>
      <c r="C1004" s="37"/>
      <c r="D1004" s="37"/>
      <c r="E1004" s="95"/>
      <c r="F1004" s="37"/>
      <c r="G1004" s="38"/>
      <c r="H1004" s="39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37"/>
      <c r="C1005" s="37"/>
      <c r="D1005" s="37"/>
      <c r="E1005" s="95"/>
      <c r="F1005" s="37"/>
      <c r="G1005" s="38"/>
      <c r="H1005" s="39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37"/>
      <c r="C1006" s="37"/>
      <c r="D1006" s="37"/>
      <c r="E1006" s="95"/>
      <c r="F1006" s="37"/>
      <c r="G1006" s="38"/>
      <c r="H1006" s="39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37"/>
      <c r="C1007" s="37"/>
      <c r="D1007" s="37"/>
      <c r="E1007" s="95"/>
      <c r="F1007" s="37"/>
      <c r="G1007" s="38"/>
      <c r="H1007" s="39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</sheetData>
  <autoFilter ref="$B$2:$F$49">
    <sortState ref="B2:F49">
      <sortCondition ref="B2:B49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88"/>
    <col customWidth="1" min="4" max="4" width="20.5"/>
    <col customWidth="1" min="5" max="5" width="2.25"/>
    <col customWidth="1" min="6" max="6" width="21.25"/>
    <col customWidth="1" min="7" max="7" width="32.5"/>
    <col customWidth="1" min="9" max="9" width="4.13"/>
    <col customWidth="1" min="10" max="10" width="26.13"/>
    <col customWidth="1" min="11" max="11" width="16.25"/>
    <col customWidth="1" min="12" max="12" width="8.0"/>
    <col customWidth="1" min="13" max="17" width="15.0"/>
    <col customWidth="1" min="18" max="18" width="4.5"/>
  </cols>
  <sheetData>
    <row r="1">
      <c r="A1" s="92" t="s">
        <v>0</v>
      </c>
      <c r="B1" s="92" t="s">
        <v>1</v>
      </c>
      <c r="C1" s="93" t="s">
        <v>2</v>
      </c>
      <c r="D1" s="1" t="s">
        <v>3</v>
      </c>
      <c r="K1" s="3"/>
      <c r="L1" s="27"/>
    </row>
    <row r="2">
      <c r="A2" s="4">
        <v>46117.0</v>
      </c>
      <c r="B2" s="5" t="s">
        <v>985</v>
      </c>
      <c r="C2" s="6">
        <v>424.83</v>
      </c>
      <c r="D2" s="5" t="s">
        <v>35</v>
      </c>
      <c r="F2" s="28" t="s">
        <v>145</v>
      </c>
      <c r="G2" s="29">
        <f>SUM(C:C)</f>
        <v>7104.52</v>
      </c>
      <c r="J2" s="60" t="s">
        <v>324</v>
      </c>
      <c r="L2" s="27"/>
    </row>
    <row r="3">
      <c r="A3" s="4">
        <v>46116.0</v>
      </c>
      <c r="B3" s="5" t="s">
        <v>244</v>
      </c>
      <c r="C3" s="6">
        <v>299.0</v>
      </c>
      <c r="D3" s="5" t="s">
        <v>986</v>
      </c>
      <c r="J3" s="5" t="s">
        <v>24</v>
      </c>
      <c r="K3" s="8">
        <v>845.93</v>
      </c>
      <c r="L3" s="27"/>
    </row>
    <row r="4">
      <c r="A4" s="4">
        <v>46108.0</v>
      </c>
      <c r="B4" s="5" t="s">
        <v>987</v>
      </c>
      <c r="C4" s="6">
        <v>285.14</v>
      </c>
      <c r="D4" s="5" t="s">
        <v>12</v>
      </c>
      <c r="J4" s="5" t="s">
        <v>28</v>
      </c>
      <c r="K4" s="8"/>
      <c r="L4" s="27"/>
    </row>
    <row r="5">
      <c r="A5" s="4">
        <v>46108.0</v>
      </c>
      <c r="B5" s="5" t="s">
        <v>988</v>
      </c>
      <c r="C5" s="6">
        <v>264.9</v>
      </c>
      <c r="D5" s="5" t="s">
        <v>13</v>
      </c>
      <c r="J5" s="5" t="s">
        <v>7</v>
      </c>
      <c r="K5" s="8"/>
      <c r="L5" s="27"/>
    </row>
    <row r="6">
      <c r="A6" s="4">
        <v>46108.0</v>
      </c>
      <c r="B6" s="5" t="s">
        <v>989</v>
      </c>
      <c r="C6" s="6">
        <v>243.67</v>
      </c>
      <c r="D6" s="5" t="s">
        <v>12</v>
      </c>
      <c r="J6" s="5" t="s">
        <v>328</v>
      </c>
      <c r="K6" s="8">
        <v>2700.0</v>
      </c>
      <c r="L6" s="27"/>
    </row>
    <row r="7">
      <c r="A7" s="4">
        <v>46109.0</v>
      </c>
      <c r="B7" s="5" t="s">
        <v>749</v>
      </c>
      <c r="C7" s="6">
        <v>242.69</v>
      </c>
      <c r="D7" s="5" t="s">
        <v>13</v>
      </c>
      <c r="J7" s="5" t="s">
        <v>330</v>
      </c>
      <c r="K7" s="8">
        <v>2700.0</v>
      </c>
      <c r="L7" s="27"/>
    </row>
    <row r="8">
      <c r="A8" s="4">
        <v>46108.0</v>
      </c>
      <c r="B8" s="5" t="s">
        <v>990</v>
      </c>
      <c r="C8" s="6">
        <v>239.0</v>
      </c>
      <c r="D8" s="5" t="s">
        <v>13</v>
      </c>
      <c r="J8" s="61" t="s">
        <v>179</v>
      </c>
      <c r="K8" s="62">
        <f>sum(K3:K7)</f>
        <v>6245.93</v>
      </c>
      <c r="L8" s="27"/>
    </row>
    <row r="9">
      <c r="A9" s="4">
        <v>46108.0</v>
      </c>
      <c r="B9" s="5" t="s">
        <v>991</v>
      </c>
      <c r="C9" s="6">
        <v>222.08</v>
      </c>
      <c r="D9" s="5" t="s">
        <v>35</v>
      </c>
      <c r="L9" s="27"/>
    </row>
    <row r="10">
      <c r="A10" s="4">
        <v>46116.0</v>
      </c>
      <c r="B10" s="5" t="s">
        <v>992</v>
      </c>
      <c r="C10" s="6">
        <v>204.75</v>
      </c>
      <c r="D10" s="5" t="s">
        <v>16</v>
      </c>
      <c r="J10" s="63" t="s">
        <v>334</v>
      </c>
      <c r="L10" s="27"/>
    </row>
    <row r="11">
      <c r="A11" s="4">
        <v>46108.0</v>
      </c>
      <c r="B11" s="5" t="s">
        <v>938</v>
      </c>
      <c r="C11" s="6">
        <v>194.17</v>
      </c>
      <c r="D11" s="5" t="s">
        <v>16</v>
      </c>
      <c r="J11" s="5" t="s">
        <v>6</v>
      </c>
      <c r="K11" s="8">
        <f>G2</f>
        <v>7104.52</v>
      </c>
      <c r="L11" s="27"/>
    </row>
    <row r="12">
      <c r="A12" s="4">
        <v>46110.0</v>
      </c>
      <c r="B12" s="5" t="s">
        <v>935</v>
      </c>
      <c r="C12" s="6">
        <v>170.06</v>
      </c>
      <c r="D12" s="5" t="s">
        <v>16</v>
      </c>
      <c r="J12" s="5" t="s">
        <v>13</v>
      </c>
      <c r="K12" s="8">
        <f>SUMIF(D:D, "Pedro", C:C)</f>
        <v>1918.52</v>
      </c>
      <c r="L12" s="27"/>
    </row>
    <row r="13">
      <c r="A13" s="4">
        <v>46108.0</v>
      </c>
      <c r="B13" s="5" t="s">
        <v>995</v>
      </c>
      <c r="C13" s="6">
        <v>158.0</v>
      </c>
      <c r="D13" s="5" t="s">
        <v>996</v>
      </c>
      <c r="J13" s="5" t="s">
        <v>699</v>
      </c>
      <c r="K13" s="8">
        <f>37.5+37.5</f>
        <v>75</v>
      </c>
      <c r="L13" s="27"/>
    </row>
    <row r="14">
      <c r="A14" s="4">
        <v>46108.0</v>
      </c>
      <c r="B14" s="5" t="s">
        <v>998</v>
      </c>
      <c r="C14" s="6">
        <v>154.85</v>
      </c>
      <c r="D14" s="5" t="s">
        <v>13</v>
      </c>
      <c r="J14" s="5" t="s">
        <v>338</v>
      </c>
      <c r="K14" s="8">
        <f>sum(K12:K13)</f>
        <v>1993.52</v>
      </c>
      <c r="L14" s="27"/>
    </row>
    <row r="15">
      <c r="A15" s="4">
        <v>46113.0</v>
      </c>
      <c r="B15" s="5" t="s">
        <v>999</v>
      </c>
      <c r="C15" s="6">
        <v>144.99</v>
      </c>
      <c r="D15" s="5" t="s">
        <v>49</v>
      </c>
      <c r="J15" s="64" t="s">
        <v>19</v>
      </c>
      <c r="K15" s="65">
        <f>K11-K14</f>
        <v>5111</v>
      </c>
      <c r="L15" s="27"/>
    </row>
    <row r="16">
      <c r="A16" s="4">
        <v>46108.0</v>
      </c>
      <c r="B16" s="5" t="s">
        <v>1000</v>
      </c>
      <c r="C16" s="6">
        <v>142.49</v>
      </c>
      <c r="D16" s="5" t="s">
        <v>683</v>
      </c>
      <c r="L16" s="27"/>
    </row>
    <row r="17">
      <c r="A17" s="4">
        <v>46108.0</v>
      </c>
      <c r="B17" s="5" t="s">
        <v>1001</v>
      </c>
      <c r="C17" s="6">
        <v>128.33</v>
      </c>
      <c r="D17" s="5" t="s">
        <v>996</v>
      </c>
      <c r="J17" s="69" t="s">
        <v>359</v>
      </c>
      <c r="K17" s="67"/>
      <c r="L17" s="70" t="s">
        <v>360</v>
      </c>
    </row>
    <row r="18">
      <c r="A18" s="4">
        <v>46108.0</v>
      </c>
      <c r="B18" s="5" t="s">
        <v>1002</v>
      </c>
      <c r="C18" s="6">
        <v>126.66</v>
      </c>
      <c r="D18" s="5" t="s">
        <v>13</v>
      </c>
      <c r="J18" s="5" t="s">
        <v>894</v>
      </c>
      <c r="K18" s="8">
        <v>2685.44</v>
      </c>
      <c r="L18" s="71" t="s">
        <v>901</v>
      </c>
    </row>
    <row r="19">
      <c r="A19" s="4">
        <v>46109.0</v>
      </c>
      <c r="B19" s="5" t="s">
        <v>1003</v>
      </c>
      <c r="C19" s="6">
        <v>124.2</v>
      </c>
      <c r="D19" s="5" t="s">
        <v>13</v>
      </c>
      <c r="J19" s="5" t="s">
        <v>370</v>
      </c>
      <c r="K19" s="8">
        <v>60.0</v>
      </c>
      <c r="L19" s="71" t="s">
        <v>901</v>
      </c>
    </row>
    <row r="20">
      <c r="A20" s="4">
        <v>46108.0</v>
      </c>
      <c r="B20" s="5" t="s">
        <v>992</v>
      </c>
      <c r="C20" s="6">
        <v>123.16</v>
      </c>
      <c r="D20" s="5" t="s">
        <v>1005</v>
      </c>
      <c r="J20" s="5" t="s">
        <v>368</v>
      </c>
      <c r="K20" s="8">
        <v>150.0</v>
      </c>
      <c r="L20" s="71" t="s">
        <v>901</v>
      </c>
    </row>
    <row r="21">
      <c r="A21" s="4">
        <v>46112.0</v>
      </c>
      <c r="B21" s="5" t="s">
        <v>659</v>
      </c>
      <c r="C21" s="6">
        <v>117.86</v>
      </c>
      <c r="D21" s="5" t="s">
        <v>13</v>
      </c>
      <c r="J21" s="5" t="s">
        <v>134</v>
      </c>
      <c r="K21" s="8">
        <v>4.0</v>
      </c>
      <c r="L21" s="71" t="s">
        <v>901</v>
      </c>
    </row>
    <row r="22">
      <c r="A22" s="4">
        <v>46116.0</v>
      </c>
      <c r="B22" s="5" t="s">
        <v>1008</v>
      </c>
      <c r="C22" s="6">
        <v>116.97</v>
      </c>
      <c r="D22" s="5" t="s">
        <v>1009</v>
      </c>
      <c r="J22" s="5" t="s">
        <v>367</v>
      </c>
      <c r="K22" s="8">
        <v>180.0</v>
      </c>
      <c r="L22" s="71" t="s">
        <v>901</v>
      </c>
    </row>
    <row r="23">
      <c r="A23" s="4">
        <v>46108.0</v>
      </c>
      <c r="B23" s="5" t="s">
        <v>1010</v>
      </c>
      <c r="C23" s="6">
        <v>115.0</v>
      </c>
      <c r="D23" s="5" t="s">
        <v>13</v>
      </c>
      <c r="J23" s="72" t="s">
        <v>6</v>
      </c>
      <c r="K23" s="73">
        <f>SUMIF(L2:L66,"pendente",K2:K66)</f>
        <v>3079.44</v>
      </c>
    </row>
    <row r="24">
      <c r="A24" s="4">
        <v>46116.0</v>
      </c>
      <c r="B24" s="5" t="s">
        <v>408</v>
      </c>
      <c r="C24" s="6">
        <v>109.8</v>
      </c>
      <c r="D24" s="5" t="s">
        <v>35</v>
      </c>
    </row>
    <row r="25">
      <c r="A25" s="4">
        <v>46111.0</v>
      </c>
      <c r="B25" s="5" t="s">
        <v>1011</v>
      </c>
      <c r="C25" s="6">
        <v>105.4</v>
      </c>
      <c r="D25" s="5" t="s">
        <v>31</v>
      </c>
      <c r="J25" s="30" t="s">
        <v>371</v>
      </c>
      <c r="K25" s="74">
        <f>K15+K23</f>
        <v>8190.44</v>
      </c>
    </row>
    <row r="26">
      <c r="A26" s="4">
        <v>46113.0</v>
      </c>
      <c r="B26" s="5" t="s">
        <v>1012</v>
      </c>
      <c r="C26" s="6">
        <v>103.83</v>
      </c>
      <c r="D26" s="5" t="s">
        <v>132</v>
      </c>
      <c r="J26" s="30" t="s">
        <v>373</v>
      </c>
      <c r="K26" s="75">
        <f>K8</f>
        <v>6245.93</v>
      </c>
      <c r="L26" s="27"/>
    </row>
    <row r="27">
      <c r="A27" s="4">
        <v>46109.0</v>
      </c>
      <c r="B27" s="5" t="s">
        <v>1013</v>
      </c>
      <c r="C27" s="6">
        <v>101.95</v>
      </c>
      <c r="D27" s="5" t="s">
        <v>183</v>
      </c>
      <c r="J27" s="30" t="s">
        <v>47</v>
      </c>
      <c r="K27" s="76">
        <f>K26-K25</f>
        <v>-1944.51</v>
      </c>
      <c r="L27" s="27"/>
    </row>
    <row r="28">
      <c r="A28" s="4">
        <v>46108.0</v>
      </c>
      <c r="B28" s="5" t="s">
        <v>357</v>
      </c>
      <c r="C28" s="6">
        <v>99.95</v>
      </c>
      <c r="D28" s="5" t="s">
        <v>35</v>
      </c>
      <c r="L28" s="27"/>
    </row>
    <row r="29">
      <c r="A29" s="4">
        <v>46108.0</v>
      </c>
      <c r="B29" s="5" t="s">
        <v>1014</v>
      </c>
      <c r="C29" s="6">
        <v>96.63</v>
      </c>
      <c r="D29" s="5" t="s">
        <v>16</v>
      </c>
      <c r="L29" s="27"/>
    </row>
    <row r="30">
      <c r="A30" s="4">
        <v>46108.0</v>
      </c>
      <c r="B30" s="5" t="s">
        <v>1015</v>
      </c>
      <c r="C30" s="6">
        <v>95.0</v>
      </c>
      <c r="D30" s="5" t="s">
        <v>13</v>
      </c>
    </row>
    <row r="31">
      <c r="A31" s="4">
        <v>46108.0</v>
      </c>
      <c r="B31" s="5" t="s">
        <v>1016</v>
      </c>
      <c r="C31" s="6">
        <v>94.93</v>
      </c>
      <c r="D31" s="5" t="s">
        <v>35</v>
      </c>
    </row>
    <row r="32">
      <c r="A32" s="4">
        <v>46108.0</v>
      </c>
      <c r="B32" s="5" t="s">
        <v>1017</v>
      </c>
      <c r="C32" s="6">
        <v>94.49</v>
      </c>
      <c r="D32" s="5" t="s">
        <v>132</v>
      </c>
    </row>
    <row r="33">
      <c r="A33" s="4">
        <v>46108.0</v>
      </c>
      <c r="B33" s="5" t="s">
        <v>1018</v>
      </c>
      <c r="C33" s="6">
        <v>89.95</v>
      </c>
      <c r="D33" s="5" t="s">
        <v>35</v>
      </c>
      <c r="L33" s="27"/>
    </row>
    <row r="34">
      <c r="A34" s="4">
        <v>46113.0</v>
      </c>
      <c r="B34" s="5" t="s">
        <v>1019</v>
      </c>
      <c r="C34" s="6">
        <v>81.03</v>
      </c>
      <c r="D34" s="5" t="s">
        <v>1005</v>
      </c>
      <c r="L34" s="27"/>
    </row>
    <row r="35">
      <c r="A35" s="4">
        <v>46110.0</v>
      </c>
      <c r="B35" s="5" t="s">
        <v>1020</v>
      </c>
      <c r="C35" s="6">
        <v>80.0</v>
      </c>
      <c r="D35" s="5" t="s">
        <v>49</v>
      </c>
      <c r="L35" s="27"/>
    </row>
    <row r="36">
      <c r="A36" s="4">
        <v>46108.0</v>
      </c>
      <c r="B36" s="5" t="s">
        <v>1021</v>
      </c>
      <c r="C36" s="6">
        <v>78.9</v>
      </c>
      <c r="D36" s="5" t="s">
        <v>1005</v>
      </c>
      <c r="L36" s="27"/>
    </row>
    <row r="37">
      <c r="A37" s="4">
        <v>46108.0</v>
      </c>
      <c r="B37" s="5" t="s">
        <v>1022</v>
      </c>
      <c r="C37" s="6">
        <v>69.95</v>
      </c>
      <c r="D37" s="5" t="s">
        <v>35</v>
      </c>
      <c r="L37" s="27"/>
    </row>
    <row r="38">
      <c r="A38" s="4">
        <v>46116.0</v>
      </c>
      <c r="B38" s="5" t="s">
        <v>1023</v>
      </c>
      <c r="C38" s="6">
        <v>69.52</v>
      </c>
      <c r="D38" s="5" t="s">
        <v>13</v>
      </c>
      <c r="L38" s="27"/>
    </row>
    <row r="39">
      <c r="A39" s="4">
        <v>46111.0</v>
      </c>
      <c r="B39" s="5" t="s">
        <v>828</v>
      </c>
      <c r="C39" s="6">
        <v>69.07</v>
      </c>
      <c r="D39" s="5" t="s">
        <v>183</v>
      </c>
      <c r="L39" s="27"/>
    </row>
    <row r="40">
      <c r="A40" s="4">
        <v>46108.0</v>
      </c>
      <c r="B40" s="5" t="s">
        <v>1024</v>
      </c>
      <c r="C40" s="6">
        <v>68.5</v>
      </c>
      <c r="D40" s="5" t="s">
        <v>149</v>
      </c>
      <c r="L40" s="27"/>
    </row>
    <row r="41">
      <c r="A41" s="4">
        <v>46109.0</v>
      </c>
      <c r="B41" s="5" t="s">
        <v>1025</v>
      </c>
      <c r="C41" s="6">
        <v>66.9</v>
      </c>
      <c r="D41" s="5" t="s">
        <v>31</v>
      </c>
      <c r="L41" s="27"/>
    </row>
    <row r="42">
      <c r="A42" s="4">
        <v>46111.0</v>
      </c>
      <c r="B42" s="5" t="s">
        <v>1026</v>
      </c>
      <c r="C42" s="6">
        <v>66.7</v>
      </c>
      <c r="D42" s="5" t="s">
        <v>1027</v>
      </c>
      <c r="L42" s="27"/>
    </row>
    <row r="43">
      <c r="A43" s="4">
        <v>46111.0</v>
      </c>
      <c r="B43" s="5" t="s">
        <v>953</v>
      </c>
      <c r="C43" s="6">
        <v>59.89</v>
      </c>
      <c r="D43" s="5" t="s">
        <v>132</v>
      </c>
      <c r="K43" s="3"/>
      <c r="L43" s="27"/>
    </row>
    <row r="44">
      <c r="A44" s="4">
        <v>46112.0</v>
      </c>
      <c r="B44" s="5" t="s">
        <v>773</v>
      </c>
      <c r="C44" s="6">
        <v>59.56</v>
      </c>
      <c r="D44" s="5" t="s">
        <v>31</v>
      </c>
      <c r="K44" s="3"/>
      <c r="L44" s="27"/>
    </row>
    <row r="45">
      <c r="A45" s="4">
        <v>46114.0</v>
      </c>
      <c r="B45" s="86" t="s">
        <v>490</v>
      </c>
      <c r="C45" s="6">
        <v>57.8</v>
      </c>
      <c r="D45" s="5" t="s">
        <v>67</v>
      </c>
      <c r="K45" s="3"/>
      <c r="L45" s="27"/>
    </row>
    <row r="46">
      <c r="A46" s="4">
        <v>46113.0</v>
      </c>
      <c r="B46" s="5" t="s">
        <v>1028</v>
      </c>
      <c r="C46" s="6">
        <v>57.0</v>
      </c>
      <c r="D46" s="5" t="s">
        <v>13</v>
      </c>
      <c r="K46" s="3"/>
      <c r="L46" s="27"/>
    </row>
    <row r="47">
      <c r="A47" s="4">
        <v>46110.0</v>
      </c>
      <c r="B47" s="5" t="s">
        <v>972</v>
      </c>
      <c r="C47" s="6">
        <v>56.8</v>
      </c>
      <c r="D47" s="5" t="s">
        <v>31</v>
      </c>
      <c r="K47" s="3"/>
      <c r="L47" s="27"/>
    </row>
    <row r="48">
      <c r="A48" s="4">
        <v>46117.0</v>
      </c>
      <c r="B48" s="5" t="s">
        <v>224</v>
      </c>
      <c r="C48" s="6">
        <v>54.12</v>
      </c>
      <c r="D48" s="5" t="s">
        <v>13</v>
      </c>
      <c r="K48" s="3"/>
      <c r="L48" s="27"/>
    </row>
    <row r="49">
      <c r="A49" s="4">
        <v>46114.0</v>
      </c>
      <c r="B49" s="5" t="s">
        <v>99</v>
      </c>
      <c r="C49" s="6">
        <v>53.9</v>
      </c>
      <c r="D49" s="5" t="s">
        <v>67</v>
      </c>
      <c r="K49" s="3"/>
      <c r="L49" s="27"/>
    </row>
    <row r="50">
      <c r="A50" s="4">
        <v>46108.0</v>
      </c>
      <c r="B50" s="5" t="s">
        <v>659</v>
      </c>
      <c r="C50" s="6">
        <v>53.73</v>
      </c>
      <c r="D50" s="5" t="s">
        <v>13</v>
      </c>
      <c r="K50" s="3"/>
      <c r="L50" s="27"/>
    </row>
    <row r="51">
      <c r="A51" s="4">
        <v>46117.0</v>
      </c>
      <c r="B51" s="5" t="s">
        <v>1029</v>
      </c>
      <c r="C51" s="6">
        <v>47.07</v>
      </c>
      <c r="D51" s="5" t="s">
        <v>149</v>
      </c>
      <c r="K51" s="3"/>
      <c r="L51" s="27"/>
    </row>
    <row r="52">
      <c r="A52" s="4">
        <v>46117.0</v>
      </c>
      <c r="B52" s="5" t="s">
        <v>529</v>
      </c>
      <c r="C52" s="6">
        <v>45.8</v>
      </c>
      <c r="D52" s="5" t="s">
        <v>149</v>
      </c>
      <c r="K52" s="3"/>
      <c r="L52" s="27"/>
    </row>
    <row r="53">
      <c r="A53" s="4">
        <v>46108.0</v>
      </c>
      <c r="B53" s="5" t="s">
        <v>1030</v>
      </c>
      <c r="C53" s="6">
        <v>44.99</v>
      </c>
      <c r="D53" s="5" t="s">
        <v>1031</v>
      </c>
      <c r="K53" s="3"/>
      <c r="L53" s="27"/>
    </row>
    <row r="54">
      <c r="A54" s="4">
        <v>46115.0</v>
      </c>
      <c r="B54" s="5" t="s">
        <v>216</v>
      </c>
      <c r="C54" s="6">
        <v>44.75</v>
      </c>
      <c r="D54" s="5" t="s">
        <v>132</v>
      </c>
      <c r="K54" s="3"/>
      <c r="L54" s="27"/>
    </row>
    <row r="55">
      <c r="A55" s="4">
        <v>46110.0</v>
      </c>
      <c r="B55" s="5" t="s">
        <v>956</v>
      </c>
      <c r="C55" s="6">
        <v>44.0</v>
      </c>
      <c r="D55" s="5" t="s">
        <v>149</v>
      </c>
      <c r="K55" s="3"/>
      <c r="L55" s="27"/>
    </row>
    <row r="56">
      <c r="A56" s="4">
        <v>46113.0</v>
      </c>
      <c r="B56" s="5" t="s">
        <v>773</v>
      </c>
      <c r="C56" s="6">
        <v>43.68</v>
      </c>
      <c r="D56" s="5" t="s">
        <v>31</v>
      </c>
      <c r="K56" s="3"/>
      <c r="L56" s="27"/>
    </row>
    <row r="57">
      <c r="A57" s="4">
        <v>46113.0</v>
      </c>
      <c r="B57" s="5" t="s">
        <v>1032</v>
      </c>
      <c r="C57" s="6">
        <v>42.5</v>
      </c>
      <c r="D57" s="5" t="s">
        <v>13</v>
      </c>
      <c r="K57" s="3"/>
      <c r="L57" s="27"/>
    </row>
    <row r="58">
      <c r="A58" s="4">
        <v>46108.0</v>
      </c>
      <c r="B58" s="5" t="s">
        <v>219</v>
      </c>
      <c r="C58" s="6">
        <v>40.9</v>
      </c>
      <c r="D58" s="5" t="s">
        <v>67</v>
      </c>
      <c r="K58" s="3"/>
      <c r="L58" s="27"/>
    </row>
    <row r="59">
      <c r="A59" s="4">
        <v>46109.0</v>
      </c>
      <c r="B59" s="5" t="s">
        <v>750</v>
      </c>
      <c r="C59" s="6">
        <v>39.0</v>
      </c>
      <c r="D59" s="5" t="s">
        <v>13</v>
      </c>
      <c r="K59" s="3"/>
      <c r="L59" s="27"/>
    </row>
    <row r="60">
      <c r="A60" s="4">
        <v>46110.0</v>
      </c>
      <c r="B60" s="5" t="s">
        <v>1033</v>
      </c>
      <c r="C60" s="6">
        <v>36.0</v>
      </c>
      <c r="D60" s="5" t="s">
        <v>13</v>
      </c>
      <c r="K60" s="3"/>
      <c r="L60" s="27"/>
    </row>
    <row r="61">
      <c r="A61" s="4">
        <v>46111.0</v>
      </c>
      <c r="B61" s="5" t="s">
        <v>920</v>
      </c>
      <c r="C61" s="6">
        <v>36.0</v>
      </c>
      <c r="D61" s="5" t="s">
        <v>31</v>
      </c>
      <c r="K61" s="3"/>
      <c r="L61" s="27"/>
    </row>
    <row r="62">
      <c r="A62" s="4">
        <v>46112.0</v>
      </c>
      <c r="B62" s="5" t="s">
        <v>712</v>
      </c>
      <c r="C62" s="6">
        <v>34.59</v>
      </c>
      <c r="D62" s="5" t="s">
        <v>13</v>
      </c>
      <c r="K62" s="3"/>
      <c r="L62" s="27"/>
    </row>
    <row r="63">
      <c r="A63" s="4">
        <v>46110.0</v>
      </c>
      <c r="B63" s="5" t="s">
        <v>761</v>
      </c>
      <c r="C63" s="6">
        <v>32.0</v>
      </c>
      <c r="D63" s="5" t="s">
        <v>149</v>
      </c>
      <c r="K63" s="3"/>
      <c r="L63" s="27"/>
    </row>
    <row r="64">
      <c r="A64" s="4">
        <v>46108.0</v>
      </c>
      <c r="B64" s="5" t="s">
        <v>124</v>
      </c>
      <c r="C64" s="6">
        <v>30.0</v>
      </c>
      <c r="D64" s="5" t="s">
        <v>1005</v>
      </c>
      <c r="K64" s="3"/>
      <c r="L64" s="27"/>
    </row>
    <row r="65">
      <c r="A65" s="4">
        <v>46114.0</v>
      </c>
      <c r="B65" s="5" t="s">
        <v>216</v>
      </c>
      <c r="C65" s="6">
        <v>29.98</v>
      </c>
      <c r="D65" s="5" t="s">
        <v>132</v>
      </c>
      <c r="K65" s="3"/>
      <c r="L65" s="27"/>
    </row>
    <row r="66">
      <c r="A66" s="4">
        <v>46116.0</v>
      </c>
      <c r="B66" s="5" t="s">
        <v>1034</v>
      </c>
      <c r="C66" s="6">
        <v>28.27</v>
      </c>
      <c r="D66" s="5" t="s">
        <v>31</v>
      </c>
      <c r="K66" s="3"/>
      <c r="L66" s="27"/>
    </row>
    <row r="67">
      <c r="A67" s="4">
        <v>46114.0</v>
      </c>
      <c r="B67" s="5" t="s">
        <v>948</v>
      </c>
      <c r="C67" s="6">
        <v>23.0</v>
      </c>
      <c r="D67" s="5" t="s">
        <v>149</v>
      </c>
      <c r="K67" s="3"/>
      <c r="L67" s="27"/>
    </row>
    <row r="68">
      <c r="A68" s="4">
        <v>46116.0</v>
      </c>
      <c r="B68" s="5" t="s">
        <v>1035</v>
      </c>
      <c r="C68" s="6">
        <v>21.9</v>
      </c>
      <c r="D68" s="5" t="s">
        <v>149</v>
      </c>
      <c r="K68" s="3"/>
      <c r="L68" s="27"/>
    </row>
    <row r="69">
      <c r="A69" s="4">
        <v>46116.0</v>
      </c>
      <c r="B69" s="5" t="s">
        <v>525</v>
      </c>
      <c r="C69" s="6">
        <v>20.0</v>
      </c>
      <c r="D69" s="5" t="s">
        <v>13</v>
      </c>
      <c r="K69" s="3"/>
      <c r="L69" s="27"/>
    </row>
    <row r="70">
      <c r="A70" s="4">
        <v>46110.0</v>
      </c>
      <c r="B70" s="5" t="s">
        <v>1036</v>
      </c>
      <c r="C70" s="6">
        <v>13.0</v>
      </c>
      <c r="D70" s="5" t="s">
        <v>13</v>
      </c>
      <c r="K70" s="3"/>
      <c r="L70" s="27"/>
    </row>
    <row r="71">
      <c r="A71" s="4">
        <v>46110.0</v>
      </c>
      <c r="B71" s="5" t="s">
        <v>532</v>
      </c>
      <c r="C71" s="6">
        <v>12.0</v>
      </c>
      <c r="D71" s="5" t="s">
        <v>16</v>
      </c>
      <c r="K71" s="3"/>
      <c r="L71" s="27"/>
    </row>
    <row r="72">
      <c r="A72" s="4">
        <v>46110.0</v>
      </c>
      <c r="B72" s="5" t="s">
        <v>1037</v>
      </c>
      <c r="C72" s="6">
        <v>12.0</v>
      </c>
      <c r="D72" s="5" t="s">
        <v>13</v>
      </c>
      <c r="K72" s="3"/>
      <c r="L72" s="27"/>
    </row>
    <row r="73">
      <c r="A73" s="4">
        <v>46113.0</v>
      </c>
      <c r="B73" s="5" t="s">
        <v>532</v>
      </c>
      <c r="C73" s="6">
        <v>12.0</v>
      </c>
      <c r="D73" s="5" t="s">
        <v>16</v>
      </c>
      <c r="K73" s="3"/>
      <c r="L73" s="27"/>
    </row>
    <row r="74">
      <c r="A74" s="4">
        <v>46108.0</v>
      </c>
      <c r="B74" s="5" t="s">
        <v>1038</v>
      </c>
      <c r="C74" s="6">
        <v>9.9</v>
      </c>
      <c r="D74" s="5" t="s">
        <v>67</v>
      </c>
      <c r="K74" s="3"/>
      <c r="L74" s="27"/>
    </row>
    <row r="75">
      <c r="A75" s="4">
        <v>46110.0</v>
      </c>
      <c r="B75" s="5" t="s">
        <v>272</v>
      </c>
      <c r="C75" s="6">
        <v>9.0</v>
      </c>
      <c r="D75" s="5" t="s">
        <v>67</v>
      </c>
      <c r="K75" s="3"/>
      <c r="L75" s="27"/>
    </row>
    <row r="76">
      <c r="A76" s="4">
        <v>46114.0</v>
      </c>
      <c r="B76" s="5" t="s">
        <v>216</v>
      </c>
      <c r="C76" s="6">
        <v>7.19</v>
      </c>
      <c r="D76" s="5" t="s">
        <v>132</v>
      </c>
      <c r="K76" s="3"/>
      <c r="L76" s="27"/>
    </row>
    <row r="77">
      <c r="A77" s="4">
        <v>46108.0</v>
      </c>
      <c r="B77" s="5" t="s">
        <v>1039</v>
      </c>
      <c r="C77" s="6">
        <v>6.9</v>
      </c>
      <c r="D77" s="5" t="s">
        <v>13</v>
      </c>
      <c r="K77" s="3"/>
      <c r="L77" s="27"/>
    </row>
    <row r="78">
      <c r="A78" s="4">
        <v>46113.0</v>
      </c>
      <c r="B78" s="5" t="s">
        <v>637</v>
      </c>
      <c r="C78" s="6">
        <v>2.83</v>
      </c>
      <c r="D78" s="5" t="s">
        <v>1005</v>
      </c>
      <c r="K78" s="3"/>
      <c r="L78" s="27"/>
    </row>
    <row r="79">
      <c r="A79" s="4">
        <v>46112.0</v>
      </c>
      <c r="B79" s="5" t="s">
        <v>1040</v>
      </c>
      <c r="C79" s="6">
        <v>-2.83</v>
      </c>
      <c r="D79" s="5" t="s">
        <v>1005</v>
      </c>
      <c r="K79" s="3"/>
      <c r="L79" s="27"/>
    </row>
    <row r="80">
      <c r="A80" s="27"/>
      <c r="C80" s="22"/>
      <c r="K80" s="3"/>
      <c r="L80" s="27"/>
    </row>
    <row r="81">
      <c r="A81" s="27"/>
      <c r="C81" s="22"/>
      <c r="K81" s="3"/>
      <c r="L81" s="27"/>
    </row>
    <row r="82">
      <c r="A82" s="27"/>
      <c r="C82" s="22"/>
      <c r="K82" s="3"/>
      <c r="L82" s="27"/>
    </row>
    <row r="83">
      <c r="A83" s="27"/>
      <c r="C83" s="22"/>
      <c r="K83" s="3"/>
      <c r="L83" s="27"/>
    </row>
    <row r="84">
      <c r="A84" s="27"/>
      <c r="C84" s="22"/>
      <c r="K84" s="3"/>
      <c r="L84" s="27"/>
    </row>
    <row r="85">
      <c r="A85" s="27"/>
      <c r="C85" s="22"/>
      <c r="K85" s="3"/>
      <c r="L85" s="27"/>
    </row>
    <row r="86">
      <c r="A86" s="27"/>
      <c r="C86" s="22"/>
      <c r="K86" s="3"/>
      <c r="L86" s="27"/>
    </row>
    <row r="87">
      <c r="A87" s="27"/>
      <c r="C87" s="22"/>
      <c r="K87" s="3"/>
      <c r="L87" s="27"/>
    </row>
    <row r="88">
      <c r="A88" s="27"/>
      <c r="C88" s="22"/>
      <c r="K88" s="3"/>
      <c r="L88" s="27"/>
    </row>
    <row r="89">
      <c r="A89" s="27"/>
      <c r="C89" s="22"/>
      <c r="K89" s="3"/>
      <c r="L89" s="27"/>
    </row>
    <row r="90">
      <c r="A90" s="27"/>
      <c r="C90" s="22"/>
      <c r="K90" s="3"/>
      <c r="L90" s="27"/>
    </row>
    <row r="91">
      <c r="A91" s="27"/>
      <c r="C91" s="22"/>
      <c r="K91" s="3"/>
      <c r="L91" s="27"/>
    </row>
    <row r="92">
      <c r="A92" s="27"/>
      <c r="C92" s="22"/>
      <c r="K92" s="3"/>
      <c r="L92" s="27"/>
    </row>
    <row r="93">
      <c r="A93" s="27"/>
      <c r="C93" s="22"/>
      <c r="K93" s="3"/>
      <c r="L93" s="27"/>
    </row>
    <row r="94">
      <c r="A94" s="27"/>
      <c r="C94" s="22"/>
      <c r="K94" s="3"/>
      <c r="L94" s="27"/>
    </row>
    <row r="95">
      <c r="A95" s="27"/>
      <c r="C95" s="22"/>
      <c r="K95" s="3"/>
      <c r="L95" s="27"/>
    </row>
    <row r="96">
      <c r="A96" s="27"/>
      <c r="C96" s="22"/>
      <c r="K96" s="3"/>
      <c r="L96" s="27"/>
    </row>
    <row r="97">
      <c r="A97" s="27"/>
      <c r="C97" s="22"/>
      <c r="K97" s="3"/>
      <c r="L97" s="27"/>
    </row>
    <row r="98">
      <c r="A98" s="27"/>
      <c r="C98" s="22"/>
      <c r="K98" s="3"/>
      <c r="L98" s="27"/>
    </row>
    <row r="99">
      <c r="A99" s="27"/>
      <c r="C99" s="22"/>
      <c r="K99" s="3"/>
      <c r="L99" s="27"/>
    </row>
    <row r="100">
      <c r="A100" s="27"/>
      <c r="C100" s="22"/>
      <c r="K100" s="3"/>
      <c r="L100" s="27"/>
    </row>
    <row r="101">
      <c r="A101" s="27"/>
      <c r="C101" s="22"/>
      <c r="K101" s="3"/>
      <c r="L101" s="27"/>
    </row>
    <row r="102">
      <c r="A102" s="27"/>
      <c r="C102" s="22"/>
      <c r="K102" s="3"/>
      <c r="L102" s="27"/>
    </row>
    <row r="103">
      <c r="A103" s="27"/>
      <c r="C103" s="22"/>
      <c r="K103" s="3"/>
      <c r="L103" s="27"/>
    </row>
    <row r="104">
      <c r="A104" s="27"/>
      <c r="C104" s="22"/>
      <c r="K104" s="3"/>
      <c r="L104" s="27"/>
    </row>
    <row r="105">
      <c r="A105" s="27"/>
      <c r="C105" s="22"/>
      <c r="K105" s="3"/>
      <c r="L105" s="27"/>
    </row>
    <row r="106">
      <c r="A106" s="27"/>
      <c r="C106" s="22"/>
      <c r="K106" s="3"/>
      <c r="L106" s="27"/>
    </row>
    <row r="107">
      <c r="A107" s="27"/>
      <c r="C107" s="22"/>
      <c r="K107" s="3"/>
      <c r="L107" s="27"/>
    </row>
    <row r="108">
      <c r="A108" s="27"/>
      <c r="C108" s="22"/>
      <c r="K108" s="3"/>
      <c r="L108" s="27"/>
    </row>
    <row r="109">
      <c r="A109" s="27"/>
      <c r="C109" s="22"/>
      <c r="K109" s="3"/>
      <c r="L109" s="27"/>
    </row>
    <row r="110">
      <c r="A110" s="27"/>
      <c r="C110" s="22"/>
      <c r="K110" s="3"/>
      <c r="L110" s="27"/>
    </row>
    <row r="111">
      <c r="A111" s="27"/>
      <c r="C111" s="22"/>
      <c r="K111" s="3"/>
      <c r="L111" s="27"/>
    </row>
    <row r="112">
      <c r="A112" s="27"/>
      <c r="C112" s="22"/>
      <c r="K112" s="3"/>
      <c r="L112" s="27"/>
    </row>
    <row r="113">
      <c r="A113" s="27"/>
      <c r="C113" s="22"/>
      <c r="K113" s="3"/>
      <c r="L113" s="27"/>
    </row>
    <row r="114">
      <c r="A114" s="27"/>
      <c r="C114" s="22"/>
      <c r="K114" s="3"/>
      <c r="L114" s="27"/>
    </row>
    <row r="115">
      <c r="A115" s="27"/>
      <c r="C115" s="22"/>
      <c r="K115" s="3"/>
      <c r="L115" s="27"/>
    </row>
    <row r="116">
      <c r="A116" s="27"/>
      <c r="C116" s="22"/>
      <c r="K116" s="3"/>
      <c r="L116" s="27"/>
    </row>
    <row r="117">
      <c r="A117" s="27"/>
      <c r="C117" s="22"/>
      <c r="K117" s="3"/>
      <c r="L117" s="27"/>
    </row>
    <row r="118">
      <c r="A118" s="27"/>
      <c r="C118" s="22"/>
      <c r="K118" s="3"/>
      <c r="L118" s="27"/>
    </row>
    <row r="119">
      <c r="A119" s="27"/>
      <c r="C119" s="22"/>
      <c r="K119" s="3"/>
      <c r="L119" s="27"/>
    </row>
    <row r="120">
      <c r="A120" s="27"/>
      <c r="C120" s="22"/>
      <c r="K120" s="3"/>
      <c r="L120" s="27"/>
    </row>
    <row r="121">
      <c r="A121" s="27"/>
      <c r="C121" s="22"/>
      <c r="K121" s="3"/>
      <c r="L121" s="27"/>
    </row>
    <row r="122">
      <c r="A122" s="27"/>
      <c r="C122" s="22"/>
      <c r="K122" s="3"/>
      <c r="L122" s="27"/>
    </row>
    <row r="123">
      <c r="A123" s="27"/>
      <c r="C123" s="22"/>
      <c r="K123" s="3"/>
      <c r="L123" s="27"/>
    </row>
    <row r="124">
      <c r="A124" s="27"/>
      <c r="C124" s="22"/>
      <c r="K124" s="3"/>
      <c r="L124" s="27"/>
    </row>
    <row r="125">
      <c r="A125" s="27"/>
      <c r="C125" s="22"/>
      <c r="K125" s="3"/>
      <c r="L125" s="27"/>
    </row>
    <row r="126">
      <c r="A126" s="27"/>
      <c r="C126" s="22"/>
      <c r="K126" s="3"/>
      <c r="L126" s="27"/>
    </row>
    <row r="127">
      <c r="A127" s="27"/>
      <c r="C127" s="22"/>
      <c r="K127" s="3"/>
      <c r="L127" s="27"/>
    </row>
    <row r="128">
      <c r="A128" s="27"/>
      <c r="C128" s="22"/>
      <c r="K128" s="3"/>
      <c r="L128" s="27"/>
    </row>
    <row r="129">
      <c r="A129" s="27"/>
      <c r="C129" s="22"/>
      <c r="K129" s="3"/>
      <c r="L129" s="27"/>
    </row>
    <row r="130">
      <c r="A130" s="27"/>
      <c r="C130" s="22"/>
      <c r="K130" s="3"/>
      <c r="L130" s="27"/>
    </row>
    <row r="131">
      <c r="A131" s="27"/>
      <c r="C131" s="22"/>
      <c r="K131" s="3"/>
      <c r="L131" s="27"/>
    </row>
    <row r="132">
      <c r="A132" s="27"/>
      <c r="C132" s="22"/>
      <c r="K132" s="3"/>
      <c r="L132" s="27"/>
    </row>
    <row r="133">
      <c r="A133" s="27"/>
      <c r="C133" s="22"/>
      <c r="K133" s="3"/>
      <c r="L133" s="27"/>
    </row>
    <row r="134">
      <c r="A134" s="27"/>
      <c r="C134" s="22"/>
      <c r="K134" s="3"/>
      <c r="L134" s="27"/>
    </row>
    <row r="135">
      <c r="A135" s="27"/>
      <c r="C135" s="22"/>
      <c r="K135" s="3"/>
      <c r="L135" s="27"/>
    </row>
    <row r="136">
      <c r="A136" s="27"/>
      <c r="C136" s="22"/>
      <c r="K136" s="3"/>
      <c r="L136" s="27"/>
    </row>
    <row r="137">
      <c r="A137" s="27"/>
      <c r="C137" s="22"/>
      <c r="K137" s="3"/>
      <c r="L137" s="27"/>
    </row>
    <row r="138">
      <c r="A138" s="27"/>
      <c r="C138" s="22"/>
      <c r="K138" s="3"/>
      <c r="L138" s="27"/>
    </row>
    <row r="139">
      <c r="A139" s="27"/>
      <c r="C139" s="22"/>
      <c r="K139" s="3"/>
      <c r="L139" s="27"/>
    </row>
    <row r="140">
      <c r="A140" s="27"/>
      <c r="C140" s="22"/>
      <c r="K140" s="3"/>
      <c r="L140" s="27"/>
    </row>
    <row r="141">
      <c r="A141" s="27"/>
      <c r="C141" s="22"/>
      <c r="K141" s="3"/>
      <c r="L141" s="27"/>
    </row>
    <row r="142">
      <c r="A142" s="27"/>
      <c r="C142" s="22"/>
      <c r="K142" s="3"/>
      <c r="L142" s="27"/>
    </row>
    <row r="143">
      <c r="A143" s="27"/>
      <c r="C143" s="22"/>
      <c r="K143" s="3"/>
      <c r="L143" s="27"/>
    </row>
    <row r="144">
      <c r="A144" s="27"/>
      <c r="C144" s="22"/>
      <c r="K144" s="3"/>
      <c r="L144" s="27"/>
    </row>
    <row r="145">
      <c r="A145" s="27"/>
      <c r="C145" s="22"/>
      <c r="K145" s="3"/>
      <c r="L145" s="27"/>
    </row>
    <row r="146">
      <c r="A146" s="27"/>
      <c r="C146" s="22"/>
      <c r="K146" s="3"/>
      <c r="L146" s="27"/>
    </row>
    <row r="147">
      <c r="A147" s="27"/>
      <c r="C147" s="22"/>
      <c r="K147" s="3"/>
      <c r="L147" s="27"/>
    </row>
    <row r="148">
      <c r="A148" s="27"/>
      <c r="C148" s="22"/>
      <c r="K148" s="3"/>
      <c r="L148" s="27"/>
    </row>
    <row r="149">
      <c r="A149" s="27"/>
      <c r="C149" s="22"/>
      <c r="K149" s="3"/>
      <c r="L149" s="27"/>
    </row>
    <row r="150">
      <c r="A150" s="27"/>
      <c r="C150" s="22"/>
      <c r="K150" s="3"/>
      <c r="L150" s="27"/>
    </row>
    <row r="151">
      <c r="A151" s="27"/>
      <c r="C151" s="22"/>
      <c r="K151" s="3"/>
      <c r="L151" s="27"/>
    </row>
    <row r="152">
      <c r="A152" s="27"/>
      <c r="C152" s="22"/>
      <c r="K152" s="3"/>
      <c r="L152" s="27"/>
    </row>
    <row r="153">
      <c r="A153" s="27"/>
      <c r="C153" s="22"/>
      <c r="K153" s="3"/>
      <c r="L153" s="27"/>
    </row>
    <row r="154">
      <c r="A154" s="27"/>
      <c r="C154" s="22"/>
      <c r="K154" s="3"/>
      <c r="L154" s="27"/>
    </row>
    <row r="155">
      <c r="A155" s="27"/>
      <c r="C155" s="22"/>
      <c r="K155" s="3"/>
      <c r="L155" s="27"/>
    </row>
    <row r="156">
      <c r="A156" s="27"/>
      <c r="C156" s="22"/>
      <c r="K156" s="3"/>
      <c r="L156" s="27"/>
    </row>
    <row r="157">
      <c r="A157" s="27"/>
      <c r="C157" s="22"/>
      <c r="K157" s="3"/>
      <c r="L157" s="27"/>
    </row>
    <row r="158">
      <c r="A158" s="27"/>
      <c r="C158" s="22"/>
      <c r="K158" s="3"/>
      <c r="L158" s="27"/>
    </row>
    <row r="159">
      <c r="A159" s="27"/>
      <c r="C159" s="22"/>
      <c r="K159" s="3"/>
      <c r="L159" s="27"/>
    </row>
    <row r="160">
      <c r="A160" s="27"/>
      <c r="C160" s="22"/>
      <c r="K160" s="3"/>
      <c r="L160" s="27"/>
    </row>
    <row r="161">
      <c r="A161" s="27"/>
      <c r="C161" s="22"/>
      <c r="K161" s="3"/>
      <c r="L161" s="27"/>
    </row>
    <row r="162">
      <c r="A162" s="27"/>
      <c r="C162" s="22"/>
      <c r="K162" s="3"/>
      <c r="L162" s="27"/>
    </row>
    <row r="163">
      <c r="A163" s="27"/>
      <c r="C163" s="22"/>
      <c r="K163" s="3"/>
      <c r="L163" s="27"/>
    </row>
    <row r="164">
      <c r="A164" s="27"/>
      <c r="C164" s="22"/>
      <c r="K164" s="3"/>
      <c r="L164" s="27"/>
    </row>
    <row r="165">
      <c r="A165" s="27"/>
      <c r="C165" s="22"/>
      <c r="K165" s="3"/>
      <c r="L165" s="27"/>
    </row>
    <row r="166">
      <c r="A166" s="27"/>
      <c r="C166" s="22"/>
      <c r="K166" s="3"/>
      <c r="L166" s="27"/>
    </row>
    <row r="167">
      <c r="A167" s="27"/>
      <c r="C167" s="22"/>
      <c r="K167" s="3"/>
      <c r="L167" s="27"/>
    </row>
    <row r="168">
      <c r="A168" s="27"/>
      <c r="C168" s="22"/>
      <c r="K168" s="3"/>
      <c r="L168" s="27"/>
    </row>
    <row r="169">
      <c r="A169" s="27"/>
      <c r="C169" s="22"/>
      <c r="K169" s="3"/>
      <c r="L169" s="27"/>
    </row>
    <row r="170">
      <c r="A170" s="27"/>
      <c r="C170" s="22"/>
      <c r="K170" s="3"/>
      <c r="L170" s="27"/>
    </row>
    <row r="171">
      <c r="A171" s="27"/>
      <c r="C171" s="22"/>
      <c r="K171" s="3"/>
      <c r="L171" s="27"/>
    </row>
    <row r="172">
      <c r="A172" s="27"/>
      <c r="C172" s="22"/>
      <c r="K172" s="3"/>
      <c r="L172" s="27"/>
    </row>
    <row r="173">
      <c r="A173" s="27"/>
      <c r="C173" s="22"/>
      <c r="K173" s="3"/>
      <c r="L173" s="27"/>
    </row>
    <row r="174">
      <c r="A174" s="27"/>
      <c r="C174" s="22"/>
      <c r="K174" s="3"/>
      <c r="L174" s="27"/>
    </row>
    <row r="175">
      <c r="A175" s="27"/>
      <c r="C175" s="22"/>
      <c r="K175" s="3"/>
      <c r="L175" s="27"/>
    </row>
    <row r="176">
      <c r="A176" s="27"/>
      <c r="C176" s="22"/>
      <c r="K176" s="3"/>
      <c r="L176" s="27"/>
    </row>
    <row r="177">
      <c r="A177" s="27"/>
      <c r="C177" s="22"/>
      <c r="K177" s="3"/>
      <c r="L177" s="27"/>
    </row>
    <row r="178">
      <c r="A178" s="27"/>
      <c r="C178" s="22"/>
      <c r="K178" s="3"/>
      <c r="L178" s="27"/>
    </row>
    <row r="179">
      <c r="A179" s="27"/>
      <c r="C179" s="22"/>
      <c r="K179" s="3"/>
      <c r="L179" s="27"/>
    </row>
    <row r="180">
      <c r="A180" s="27"/>
      <c r="C180" s="22"/>
      <c r="K180" s="3"/>
      <c r="L180" s="27"/>
    </row>
    <row r="181">
      <c r="A181" s="27"/>
      <c r="C181" s="22"/>
      <c r="K181" s="3"/>
      <c r="L181" s="27"/>
    </row>
    <row r="182">
      <c r="A182" s="27"/>
      <c r="C182" s="22"/>
      <c r="K182" s="3"/>
      <c r="L182" s="27"/>
    </row>
    <row r="183">
      <c r="A183" s="27"/>
      <c r="C183" s="22"/>
      <c r="K183" s="3"/>
      <c r="L183" s="27"/>
    </row>
    <row r="184">
      <c r="A184" s="27"/>
      <c r="C184" s="22"/>
      <c r="K184" s="3"/>
      <c r="L184" s="27"/>
    </row>
    <row r="185">
      <c r="A185" s="27"/>
      <c r="C185" s="22"/>
      <c r="K185" s="3"/>
      <c r="L185" s="27"/>
    </row>
    <row r="186">
      <c r="A186" s="27"/>
      <c r="C186" s="22"/>
      <c r="K186" s="3"/>
      <c r="L186" s="27"/>
    </row>
    <row r="187">
      <c r="A187" s="27"/>
      <c r="C187" s="22"/>
      <c r="K187" s="3"/>
      <c r="L187" s="27"/>
    </row>
    <row r="188">
      <c r="A188" s="27"/>
      <c r="C188" s="22"/>
      <c r="K188" s="3"/>
      <c r="L188" s="27"/>
    </row>
    <row r="189">
      <c r="A189" s="27"/>
      <c r="C189" s="22"/>
      <c r="K189" s="3"/>
      <c r="L189" s="27"/>
    </row>
    <row r="190">
      <c r="A190" s="27"/>
      <c r="C190" s="22"/>
      <c r="K190" s="3"/>
      <c r="L190" s="27"/>
    </row>
    <row r="191">
      <c r="A191" s="27"/>
      <c r="C191" s="22"/>
      <c r="K191" s="3"/>
      <c r="L191" s="27"/>
    </row>
    <row r="192">
      <c r="A192" s="27"/>
      <c r="C192" s="22"/>
      <c r="K192" s="3"/>
      <c r="L192" s="27"/>
    </row>
    <row r="193">
      <c r="A193" s="27"/>
      <c r="C193" s="22"/>
      <c r="K193" s="3"/>
      <c r="L193" s="27"/>
    </row>
    <row r="194">
      <c r="A194" s="27"/>
      <c r="C194" s="22"/>
      <c r="K194" s="3"/>
      <c r="L194" s="27"/>
    </row>
    <row r="195">
      <c r="A195" s="27"/>
      <c r="C195" s="22"/>
      <c r="K195" s="3"/>
      <c r="L195" s="27"/>
    </row>
    <row r="196">
      <c r="A196" s="27"/>
      <c r="C196" s="22"/>
      <c r="K196" s="3"/>
      <c r="L196" s="27"/>
    </row>
    <row r="197">
      <c r="A197" s="27"/>
      <c r="C197" s="22"/>
      <c r="K197" s="3"/>
      <c r="L197" s="27"/>
    </row>
    <row r="198">
      <c r="A198" s="27"/>
      <c r="C198" s="22"/>
      <c r="K198" s="3"/>
      <c r="L198" s="27"/>
    </row>
    <row r="199">
      <c r="A199" s="27"/>
      <c r="C199" s="22"/>
      <c r="K199" s="3"/>
      <c r="L199" s="27"/>
    </row>
    <row r="200">
      <c r="A200" s="27"/>
      <c r="C200" s="22"/>
      <c r="K200" s="3"/>
      <c r="L200" s="27"/>
    </row>
    <row r="201">
      <c r="A201" s="27"/>
      <c r="C201" s="22"/>
      <c r="K201" s="3"/>
      <c r="L201" s="27"/>
    </row>
    <row r="202">
      <c r="A202" s="27"/>
      <c r="C202" s="22"/>
      <c r="K202" s="3"/>
      <c r="L202" s="27"/>
    </row>
    <row r="203">
      <c r="A203" s="27"/>
      <c r="C203" s="22"/>
      <c r="K203" s="3"/>
      <c r="L203" s="27"/>
    </row>
    <row r="204">
      <c r="A204" s="27"/>
      <c r="C204" s="22"/>
      <c r="K204" s="3"/>
      <c r="L204" s="27"/>
    </row>
    <row r="205">
      <c r="A205" s="27"/>
      <c r="C205" s="22"/>
      <c r="K205" s="3"/>
      <c r="L205" s="27"/>
    </row>
    <row r="206">
      <c r="A206" s="27"/>
      <c r="C206" s="22"/>
      <c r="K206" s="3"/>
      <c r="L206" s="27"/>
    </row>
    <row r="207">
      <c r="A207" s="27"/>
      <c r="C207" s="22"/>
      <c r="K207" s="3"/>
      <c r="L207" s="27"/>
    </row>
    <row r="208">
      <c r="A208" s="27"/>
      <c r="C208" s="22"/>
      <c r="K208" s="3"/>
      <c r="L208" s="27"/>
    </row>
    <row r="209">
      <c r="A209" s="27"/>
      <c r="C209" s="22"/>
      <c r="K209" s="3"/>
      <c r="L209" s="27"/>
    </row>
    <row r="210">
      <c r="A210" s="27"/>
      <c r="C210" s="22"/>
      <c r="K210" s="3"/>
      <c r="L210" s="27"/>
    </row>
    <row r="211">
      <c r="A211" s="27"/>
      <c r="C211" s="22"/>
      <c r="K211" s="3"/>
      <c r="L211" s="27"/>
    </row>
    <row r="212">
      <c r="A212" s="27"/>
      <c r="C212" s="22"/>
      <c r="K212" s="3"/>
      <c r="L212" s="27"/>
    </row>
    <row r="213">
      <c r="A213" s="27"/>
      <c r="C213" s="22"/>
      <c r="K213" s="3"/>
      <c r="L213" s="27"/>
    </row>
    <row r="214">
      <c r="A214" s="27"/>
      <c r="C214" s="22"/>
      <c r="K214" s="3"/>
      <c r="L214" s="27"/>
    </row>
    <row r="215">
      <c r="A215" s="27"/>
      <c r="C215" s="22"/>
      <c r="K215" s="3"/>
      <c r="L215" s="27"/>
    </row>
    <row r="216">
      <c r="A216" s="27"/>
      <c r="C216" s="22"/>
      <c r="K216" s="3"/>
      <c r="L216" s="27"/>
    </row>
    <row r="217">
      <c r="A217" s="27"/>
      <c r="C217" s="22"/>
      <c r="K217" s="3"/>
      <c r="L217" s="27"/>
    </row>
    <row r="218">
      <c r="A218" s="27"/>
      <c r="C218" s="22"/>
      <c r="K218" s="3"/>
      <c r="L218" s="27"/>
    </row>
    <row r="219">
      <c r="A219" s="27"/>
      <c r="C219" s="22"/>
      <c r="K219" s="3"/>
      <c r="L219" s="27"/>
    </row>
    <row r="220">
      <c r="A220" s="27"/>
      <c r="C220" s="22"/>
      <c r="K220" s="3"/>
      <c r="L220" s="27"/>
    </row>
    <row r="221">
      <c r="A221" s="27"/>
      <c r="C221" s="22"/>
      <c r="K221" s="3"/>
      <c r="L221" s="27"/>
    </row>
    <row r="222">
      <c r="A222" s="27"/>
      <c r="C222" s="22"/>
      <c r="K222" s="3"/>
      <c r="L222" s="27"/>
    </row>
    <row r="223">
      <c r="A223" s="27"/>
      <c r="C223" s="22"/>
      <c r="K223" s="3"/>
      <c r="L223" s="27"/>
    </row>
    <row r="224">
      <c r="A224" s="27"/>
      <c r="C224" s="22"/>
      <c r="K224" s="3"/>
      <c r="L224" s="27"/>
    </row>
    <row r="225">
      <c r="A225" s="27"/>
      <c r="C225" s="22"/>
      <c r="K225" s="3"/>
      <c r="L225" s="27"/>
    </row>
    <row r="226">
      <c r="A226" s="27"/>
      <c r="C226" s="22"/>
      <c r="K226" s="3"/>
      <c r="L226" s="27"/>
    </row>
    <row r="227">
      <c r="A227" s="27"/>
      <c r="C227" s="22"/>
      <c r="K227" s="3"/>
      <c r="L227" s="27"/>
    </row>
    <row r="228">
      <c r="A228" s="27"/>
      <c r="C228" s="22"/>
      <c r="K228" s="3"/>
      <c r="L228" s="27"/>
    </row>
    <row r="229">
      <c r="A229" s="27"/>
      <c r="C229" s="22"/>
      <c r="K229" s="3"/>
      <c r="L229" s="27"/>
    </row>
    <row r="230">
      <c r="A230" s="27"/>
      <c r="C230" s="22"/>
      <c r="K230" s="3"/>
      <c r="L230" s="27"/>
    </row>
    <row r="231">
      <c r="A231" s="27"/>
      <c r="C231" s="22"/>
      <c r="K231" s="3"/>
      <c r="L231" s="27"/>
    </row>
    <row r="232">
      <c r="A232" s="27"/>
      <c r="C232" s="22"/>
      <c r="K232" s="3"/>
      <c r="L232" s="27"/>
    </row>
    <row r="233">
      <c r="A233" s="27"/>
      <c r="C233" s="22"/>
      <c r="K233" s="3"/>
      <c r="L233" s="27"/>
    </row>
    <row r="234">
      <c r="A234" s="27"/>
      <c r="C234" s="22"/>
      <c r="K234" s="3"/>
      <c r="L234" s="27"/>
    </row>
    <row r="235">
      <c r="A235" s="27"/>
      <c r="C235" s="22"/>
      <c r="K235" s="3"/>
      <c r="L235" s="27"/>
    </row>
    <row r="236">
      <c r="A236" s="27"/>
      <c r="C236" s="22"/>
      <c r="K236" s="3"/>
      <c r="L236" s="27"/>
    </row>
    <row r="237">
      <c r="A237" s="27"/>
      <c r="C237" s="22"/>
      <c r="K237" s="3"/>
      <c r="L237" s="27"/>
    </row>
    <row r="238">
      <c r="A238" s="27"/>
      <c r="C238" s="22"/>
      <c r="K238" s="3"/>
      <c r="L238" s="27"/>
    </row>
    <row r="239">
      <c r="A239" s="27"/>
      <c r="C239" s="22"/>
      <c r="K239" s="3"/>
      <c r="L239" s="27"/>
    </row>
    <row r="240">
      <c r="A240" s="27"/>
      <c r="C240" s="22"/>
      <c r="K240" s="3"/>
      <c r="L240" s="27"/>
    </row>
    <row r="241">
      <c r="A241" s="27"/>
      <c r="C241" s="22"/>
      <c r="K241" s="3"/>
      <c r="L241" s="27"/>
    </row>
    <row r="242">
      <c r="A242" s="27"/>
      <c r="C242" s="22"/>
      <c r="K242" s="3"/>
      <c r="L242" s="27"/>
    </row>
    <row r="243">
      <c r="A243" s="27"/>
      <c r="C243" s="22"/>
      <c r="K243" s="3"/>
      <c r="L243" s="27"/>
    </row>
    <row r="244">
      <c r="A244" s="27"/>
      <c r="C244" s="22"/>
      <c r="K244" s="3"/>
      <c r="L244" s="27"/>
    </row>
    <row r="245">
      <c r="A245" s="27"/>
      <c r="C245" s="22"/>
      <c r="K245" s="3"/>
      <c r="L245" s="27"/>
    </row>
    <row r="246">
      <c r="A246" s="27"/>
      <c r="C246" s="22"/>
      <c r="K246" s="3"/>
      <c r="L246" s="27"/>
    </row>
    <row r="247">
      <c r="A247" s="27"/>
      <c r="C247" s="22"/>
      <c r="K247" s="3"/>
      <c r="L247" s="27"/>
    </row>
    <row r="248">
      <c r="A248" s="27"/>
      <c r="C248" s="22"/>
      <c r="K248" s="3"/>
      <c r="L248" s="27"/>
    </row>
    <row r="249">
      <c r="A249" s="27"/>
      <c r="C249" s="22"/>
      <c r="K249" s="3"/>
      <c r="L249" s="27"/>
    </row>
    <row r="250">
      <c r="A250" s="27"/>
      <c r="C250" s="22"/>
      <c r="K250" s="3"/>
      <c r="L250" s="27"/>
    </row>
    <row r="251">
      <c r="A251" s="27"/>
      <c r="C251" s="22"/>
      <c r="K251" s="3"/>
      <c r="L251" s="27"/>
    </row>
    <row r="252">
      <c r="A252" s="27"/>
      <c r="C252" s="22"/>
      <c r="K252" s="3"/>
      <c r="L252" s="27"/>
    </row>
    <row r="253">
      <c r="A253" s="27"/>
      <c r="C253" s="22"/>
      <c r="K253" s="3"/>
      <c r="L253" s="27"/>
    </row>
    <row r="254">
      <c r="A254" s="27"/>
      <c r="C254" s="22"/>
      <c r="K254" s="3"/>
      <c r="L254" s="27"/>
    </row>
    <row r="255">
      <c r="A255" s="27"/>
      <c r="C255" s="22"/>
      <c r="K255" s="3"/>
      <c r="L255" s="27"/>
    </row>
    <row r="256">
      <c r="A256" s="27"/>
      <c r="C256" s="22"/>
      <c r="K256" s="3"/>
      <c r="L256" s="27"/>
    </row>
    <row r="257">
      <c r="A257" s="27"/>
      <c r="C257" s="22"/>
      <c r="K257" s="3"/>
      <c r="L257" s="27"/>
    </row>
    <row r="258">
      <c r="A258" s="27"/>
      <c r="C258" s="22"/>
      <c r="K258" s="3"/>
      <c r="L258" s="27"/>
    </row>
    <row r="259">
      <c r="A259" s="27"/>
      <c r="C259" s="22"/>
      <c r="K259" s="3"/>
      <c r="L259" s="27"/>
    </row>
    <row r="260">
      <c r="A260" s="27"/>
      <c r="C260" s="22"/>
      <c r="K260" s="3"/>
      <c r="L260" s="27"/>
    </row>
    <row r="261">
      <c r="A261" s="27"/>
      <c r="C261" s="22"/>
      <c r="K261" s="3"/>
      <c r="L261" s="27"/>
    </row>
    <row r="262">
      <c r="A262" s="27"/>
      <c r="C262" s="22"/>
      <c r="K262" s="3"/>
      <c r="L262" s="27"/>
    </row>
    <row r="263">
      <c r="A263" s="27"/>
      <c r="C263" s="22"/>
      <c r="K263" s="3"/>
      <c r="L263" s="27"/>
    </row>
    <row r="264">
      <c r="A264" s="27"/>
      <c r="C264" s="22"/>
      <c r="K264" s="3"/>
      <c r="L264" s="27"/>
    </row>
    <row r="265">
      <c r="A265" s="27"/>
      <c r="C265" s="22"/>
      <c r="K265" s="3"/>
      <c r="L265" s="27"/>
    </row>
    <row r="266">
      <c r="A266" s="27"/>
      <c r="C266" s="22"/>
      <c r="K266" s="3"/>
      <c r="L266" s="27"/>
    </row>
    <row r="267">
      <c r="A267" s="27"/>
      <c r="C267" s="22"/>
      <c r="K267" s="3"/>
      <c r="L267" s="27"/>
    </row>
    <row r="268">
      <c r="A268" s="27"/>
      <c r="C268" s="22"/>
      <c r="K268" s="3"/>
      <c r="L268" s="27"/>
    </row>
    <row r="269">
      <c r="A269" s="27"/>
      <c r="C269" s="22"/>
      <c r="K269" s="3"/>
      <c r="L269" s="27"/>
    </row>
    <row r="270">
      <c r="A270" s="27"/>
      <c r="C270" s="22"/>
      <c r="K270" s="3"/>
      <c r="L270" s="27"/>
    </row>
    <row r="271">
      <c r="A271" s="27"/>
      <c r="C271" s="22"/>
      <c r="K271" s="3"/>
      <c r="L271" s="27"/>
    </row>
    <row r="272">
      <c r="A272" s="27"/>
      <c r="C272" s="22"/>
      <c r="K272" s="3"/>
      <c r="L272" s="27"/>
    </row>
    <row r="273">
      <c r="A273" s="27"/>
      <c r="C273" s="22"/>
      <c r="K273" s="3"/>
      <c r="L273" s="27"/>
    </row>
    <row r="274">
      <c r="A274" s="27"/>
      <c r="C274" s="22"/>
      <c r="K274" s="3"/>
      <c r="L274" s="27"/>
    </row>
    <row r="275">
      <c r="A275" s="27"/>
      <c r="C275" s="22"/>
      <c r="K275" s="3"/>
      <c r="L275" s="27"/>
    </row>
    <row r="276">
      <c r="A276" s="27"/>
      <c r="C276" s="22"/>
      <c r="K276" s="3"/>
      <c r="L276" s="27"/>
    </row>
    <row r="277">
      <c r="A277" s="27"/>
      <c r="C277" s="22"/>
      <c r="K277" s="3"/>
      <c r="L277" s="27"/>
    </row>
    <row r="278">
      <c r="A278" s="27"/>
      <c r="C278" s="22"/>
      <c r="K278" s="3"/>
      <c r="L278" s="27"/>
    </row>
    <row r="279">
      <c r="A279" s="27"/>
      <c r="C279" s="22"/>
      <c r="K279" s="3"/>
      <c r="L279" s="27"/>
    </row>
    <row r="280">
      <c r="A280" s="27"/>
      <c r="C280" s="22"/>
      <c r="K280" s="3"/>
      <c r="L280" s="27"/>
    </row>
    <row r="281">
      <c r="A281" s="27"/>
      <c r="C281" s="22"/>
      <c r="K281" s="3"/>
      <c r="L281" s="27"/>
    </row>
    <row r="282">
      <c r="A282" s="27"/>
      <c r="C282" s="22"/>
      <c r="K282" s="3"/>
      <c r="L282" s="27"/>
    </row>
    <row r="283">
      <c r="A283" s="27"/>
      <c r="C283" s="22"/>
      <c r="K283" s="3"/>
      <c r="L283" s="27"/>
    </row>
    <row r="284">
      <c r="A284" s="27"/>
      <c r="C284" s="22"/>
      <c r="K284" s="3"/>
      <c r="L284" s="27"/>
    </row>
    <row r="285">
      <c r="A285" s="27"/>
      <c r="C285" s="22"/>
      <c r="K285" s="3"/>
      <c r="L285" s="27"/>
    </row>
    <row r="286">
      <c r="A286" s="27"/>
      <c r="C286" s="22"/>
      <c r="K286" s="3"/>
      <c r="L286" s="27"/>
    </row>
    <row r="287">
      <c r="A287" s="27"/>
      <c r="C287" s="22"/>
      <c r="K287" s="3"/>
      <c r="L287" s="27"/>
    </row>
    <row r="288">
      <c r="A288" s="27"/>
      <c r="C288" s="22"/>
      <c r="K288" s="3"/>
      <c r="L288" s="27"/>
    </row>
    <row r="289">
      <c r="A289" s="27"/>
      <c r="C289" s="22"/>
      <c r="K289" s="3"/>
      <c r="L289" s="27"/>
    </row>
    <row r="290">
      <c r="A290" s="27"/>
      <c r="C290" s="22"/>
      <c r="K290" s="3"/>
      <c r="L290" s="27"/>
    </row>
    <row r="291">
      <c r="A291" s="27"/>
      <c r="C291" s="22"/>
      <c r="K291" s="3"/>
      <c r="L291" s="27"/>
    </row>
    <row r="292">
      <c r="A292" s="27"/>
      <c r="C292" s="22"/>
      <c r="K292" s="3"/>
      <c r="L292" s="27"/>
    </row>
    <row r="293">
      <c r="A293" s="27"/>
      <c r="C293" s="22"/>
      <c r="K293" s="3"/>
      <c r="L293" s="27"/>
    </row>
    <row r="294">
      <c r="A294" s="27"/>
      <c r="C294" s="22"/>
      <c r="K294" s="3"/>
      <c r="L294" s="27"/>
    </row>
    <row r="295">
      <c r="A295" s="27"/>
      <c r="C295" s="22"/>
      <c r="K295" s="3"/>
      <c r="L295" s="27"/>
    </row>
    <row r="296">
      <c r="A296" s="27"/>
      <c r="C296" s="22"/>
      <c r="K296" s="3"/>
      <c r="L296" s="27"/>
    </row>
    <row r="297">
      <c r="A297" s="27"/>
      <c r="C297" s="22"/>
      <c r="K297" s="3"/>
      <c r="L297" s="27"/>
    </row>
    <row r="298">
      <c r="A298" s="27"/>
      <c r="C298" s="22"/>
      <c r="K298" s="3"/>
      <c r="L298" s="27"/>
    </row>
    <row r="299">
      <c r="A299" s="27"/>
      <c r="C299" s="22"/>
      <c r="K299" s="3"/>
      <c r="L299" s="27"/>
    </row>
    <row r="300">
      <c r="A300" s="27"/>
      <c r="C300" s="22"/>
      <c r="K300" s="3"/>
      <c r="L300" s="27"/>
    </row>
    <row r="301">
      <c r="A301" s="27"/>
      <c r="C301" s="22"/>
      <c r="K301" s="3"/>
      <c r="L301" s="27"/>
    </row>
    <row r="302">
      <c r="A302" s="27"/>
      <c r="C302" s="22"/>
      <c r="K302" s="3"/>
      <c r="L302" s="27"/>
    </row>
    <row r="303">
      <c r="A303" s="27"/>
      <c r="C303" s="22"/>
      <c r="K303" s="3"/>
      <c r="L303" s="27"/>
    </row>
    <row r="304">
      <c r="A304" s="27"/>
      <c r="C304" s="22"/>
      <c r="K304" s="3"/>
      <c r="L304" s="27"/>
    </row>
    <row r="305">
      <c r="A305" s="27"/>
      <c r="C305" s="22"/>
      <c r="K305" s="3"/>
      <c r="L305" s="27"/>
    </row>
    <row r="306">
      <c r="A306" s="27"/>
      <c r="C306" s="22"/>
      <c r="K306" s="3"/>
      <c r="L306" s="27"/>
    </row>
    <row r="307">
      <c r="A307" s="27"/>
      <c r="C307" s="22"/>
      <c r="K307" s="3"/>
      <c r="L307" s="27"/>
    </row>
    <row r="308">
      <c r="A308" s="27"/>
      <c r="C308" s="22"/>
      <c r="K308" s="3"/>
      <c r="L308" s="27"/>
    </row>
    <row r="309">
      <c r="A309" s="27"/>
      <c r="C309" s="22"/>
      <c r="K309" s="3"/>
      <c r="L309" s="27"/>
    </row>
    <row r="310">
      <c r="A310" s="27"/>
      <c r="C310" s="22"/>
      <c r="K310" s="3"/>
      <c r="L310" s="27"/>
    </row>
    <row r="311">
      <c r="A311" s="27"/>
      <c r="C311" s="22"/>
      <c r="K311" s="3"/>
      <c r="L311" s="27"/>
    </row>
    <row r="312">
      <c r="A312" s="27"/>
      <c r="C312" s="22"/>
      <c r="K312" s="3"/>
      <c r="L312" s="27"/>
    </row>
    <row r="313">
      <c r="A313" s="27"/>
      <c r="C313" s="22"/>
      <c r="K313" s="3"/>
      <c r="L313" s="27"/>
    </row>
    <row r="314">
      <c r="A314" s="27"/>
      <c r="C314" s="22"/>
      <c r="K314" s="3"/>
      <c r="L314" s="27"/>
    </row>
    <row r="315">
      <c r="A315" s="27"/>
      <c r="C315" s="22"/>
      <c r="K315" s="3"/>
      <c r="L315" s="27"/>
    </row>
    <row r="316">
      <c r="A316" s="27"/>
      <c r="C316" s="22"/>
      <c r="K316" s="3"/>
      <c r="L316" s="27"/>
    </row>
    <row r="317">
      <c r="A317" s="27"/>
      <c r="C317" s="22"/>
      <c r="K317" s="3"/>
      <c r="L317" s="27"/>
    </row>
    <row r="318">
      <c r="A318" s="27"/>
      <c r="C318" s="22"/>
      <c r="K318" s="3"/>
      <c r="L318" s="27"/>
    </row>
    <row r="319">
      <c r="A319" s="27"/>
      <c r="C319" s="22"/>
      <c r="K319" s="3"/>
      <c r="L319" s="27"/>
    </row>
    <row r="320">
      <c r="A320" s="27"/>
      <c r="C320" s="22"/>
      <c r="K320" s="3"/>
      <c r="L320" s="27"/>
    </row>
    <row r="321">
      <c r="A321" s="27"/>
      <c r="C321" s="22"/>
      <c r="K321" s="3"/>
      <c r="L321" s="27"/>
    </row>
    <row r="322">
      <c r="A322" s="27"/>
      <c r="C322" s="22"/>
      <c r="K322" s="3"/>
      <c r="L322" s="27"/>
    </row>
    <row r="323">
      <c r="A323" s="27"/>
      <c r="C323" s="22"/>
      <c r="K323" s="3"/>
      <c r="L323" s="27"/>
    </row>
    <row r="324">
      <c r="A324" s="27"/>
      <c r="C324" s="22"/>
      <c r="K324" s="3"/>
      <c r="L324" s="27"/>
    </row>
    <row r="325">
      <c r="A325" s="27"/>
      <c r="C325" s="22"/>
      <c r="K325" s="3"/>
      <c r="L325" s="27"/>
    </row>
    <row r="326">
      <c r="A326" s="27"/>
      <c r="C326" s="22"/>
      <c r="K326" s="3"/>
      <c r="L326" s="27"/>
    </row>
    <row r="327">
      <c r="A327" s="27"/>
      <c r="C327" s="22"/>
      <c r="K327" s="3"/>
      <c r="L327" s="27"/>
    </row>
    <row r="328">
      <c r="A328" s="27"/>
      <c r="C328" s="22"/>
      <c r="K328" s="3"/>
      <c r="L328" s="27"/>
    </row>
    <row r="329">
      <c r="A329" s="27"/>
      <c r="C329" s="22"/>
      <c r="K329" s="3"/>
      <c r="L329" s="27"/>
    </row>
    <row r="330">
      <c r="A330" s="27"/>
      <c r="C330" s="22"/>
      <c r="K330" s="3"/>
      <c r="L330" s="27"/>
    </row>
    <row r="331">
      <c r="A331" s="27"/>
      <c r="C331" s="22"/>
      <c r="K331" s="3"/>
      <c r="L331" s="27"/>
    </row>
    <row r="332">
      <c r="A332" s="27"/>
      <c r="C332" s="22"/>
      <c r="K332" s="3"/>
      <c r="L332" s="27"/>
    </row>
    <row r="333">
      <c r="A333" s="27"/>
      <c r="C333" s="22"/>
      <c r="K333" s="3"/>
      <c r="L333" s="27"/>
    </row>
    <row r="334">
      <c r="A334" s="27"/>
      <c r="C334" s="22"/>
      <c r="K334" s="3"/>
      <c r="L334" s="27"/>
    </row>
    <row r="335">
      <c r="A335" s="27"/>
      <c r="C335" s="22"/>
      <c r="K335" s="3"/>
      <c r="L335" s="27"/>
    </row>
    <row r="336">
      <c r="A336" s="27"/>
      <c r="C336" s="22"/>
      <c r="K336" s="3"/>
      <c r="L336" s="27"/>
    </row>
    <row r="337">
      <c r="A337" s="27"/>
      <c r="C337" s="22"/>
      <c r="K337" s="3"/>
      <c r="L337" s="27"/>
    </row>
    <row r="338">
      <c r="A338" s="27"/>
      <c r="C338" s="22"/>
      <c r="K338" s="3"/>
      <c r="L338" s="27"/>
    </row>
    <row r="339">
      <c r="A339" s="27"/>
      <c r="C339" s="22"/>
      <c r="K339" s="3"/>
      <c r="L339" s="27"/>
    </row>
    <row r="340">
      <c r="A340" s="27"/>
      <c r="C340" s="22"/>
      <c r="K340" s="3"/>
      <c r="L340" s="27"/>
    </row>
    <row r="341">
      <c r="A341" s="27"/>
      <c r="C341" s="22"/>
      <c r="K341" s="3"/>
      <c r="L341" s="27"/>
    </row>
    <row r="342">
      <c r="A342" s="27"/>
      <c r="C342" s="22"/>
      <c r="K342" s="3"/>
      <c r="L342" s="27"/>
    </row>
    <row r="343">
      <c r="A343" s="27"/>
      <c r="C343" s="22"/>
      <c r="K343" s="3"/>
      <c r="L343" s="27"/>
    </row>
    <row r="344">
      <c r="A344" s="27"/>
      <c r="C344" s="22"/>
      <c r="K344" s="3"/>
      <c r="L344" s="27"/>
    </row>
    <row r="345">
      <c r="A345" s="27"/>
      <c r="C345" s="22"/>
      <c r="K345" s="3"/>
      <c r="L345" s="27"/>
    </row>
    <row r="346">
      <c r="A346" s="27"/>
      <c r="C346" s="22"/>
      <c r="K346" s="3"/>
      <c r="L346" s="27"/>
    </row>
    <row r="347">
      <c r="A347" s="27"/>
      <c r="C347" s="22"/>
      <c r="K347" s="3"/>
      <c r="L347" s="27"/>
    </row>
    <row r="348">
      <c r="A348" s="27"/>
      <c r="C348" s="22"/>
      <c r="K348" s="3"/>
      <c r="L348" s="27"/>
    </row>
    <row r="349">
      <c r="A349" s="27"/>
      <c r="C349" s="22"/>
      <c r="K349" s="3"/>
      <c r="L349" s="27"/>
    </row>
    <row r="350">
      <c r="A350" s="27"/>
      <c r="C350" s="22"/>
      <c r="K350" s="3"/>
      <c r="L350" s="27"/>
    </row>
    <row r="351">
      <c r="A351" s="27"/>
      <c r="C351" s="22"/>
      <c r="K351" s="3"/>
      <c r="L351" s="27"/>
    </row>
    <row r="352">
      <c r="A352" s="27"/>
      <c r="C352" s="22"/>
      <c r="K352" s="3"/>
      <c r="L352" s="27"/>
    </row>
    <row r="353">
      <c r="A353" s="27"/>
      <c r="C353" s="22"/>
      <c r="K353" s="3"/>
      <c r="L353" s="27"/>
    </row>
    <row r="354">
      <c r="A354" s="27"/>
      <c r="C354" s="22"/>
      <c r="K354" s="3"/>
      <c r="L354" s="27"/>
    </row>
    <row r="355">
      <c r="A355" s="27"/>
      <c r="C355" s="22"/>
      <c r="K355" s="3"/>
      <c r="L355" s="27"/>
    </row>
    <row r="356">
      <c r="A356" s="27"/>
      <c r="C356" s="22"/>
      <c r="K356" s="3"/>
      <c r="L356" s="27"/>
    </row>
    <row r="357">
      <c r="A357" s="27"/>
      <c r="C357" s="22"/>
      <c r="K357" s="3"/>
      <c r="L357" s="27"/>
    </row>
    <row r="358">
      <c r="A358" s="27"/>
      <c r="C358" s="22"/>
      <c r="K358" s="3"/>
      <c r="L358" s="27"/>
    </row>
    <row r="359">
      <c r="A359" s="27"/>
      <c r="C359" s="22"/>
      <c r="K359" s="3"/>
      <c r="L359" s="27"/>
    </row>
    <row r="360">
      <c r="A360" s="27"/>
      <c r="C360" s="22"/>
      <c r="K360" s="3"/>
      <c r="L360" s="27"/>
    </row>
    <row r="361">
      <c r="A361" s="27"/>
      <c r="C361" s="22"/>
      <c r="K361" s="3"/>
      <c r="L361" s="27"/>
    </row>
    <row r="362">
      <c r="A362" s="27"/>
      <c r="C362" s="22"/>
      <c r="K362" s="3"/>
      <c r="L362" s="27"/>
    </row>
    <row r="363">
      <c r="A363" s="27"/>
      <c r="C363" s="22"/>
      <c r="K363" s="3"/>
      <c r="L363" s="27"/>
    </row>
    <row r="364">
      <c r="A364" s="27"/>
      <c r="C364" s="22"/>
      <c r="K364" s="3"/>
      <c r="L364" s="27"/>
    </row>
    <row r="365">
      <c r="A365" s="27"/>
      <c r="C365" s="22"/>
      <c r="K365" s="3"/>
      <c r="L365" s="27"/>
    </row>
    <row r="366">
      <c r="A366" s="27"/>
      <c r="C366" s="22"/>
      <c r="K366" s="3"/>
      <c r="L366" s="27"/>
    </row>
    <row r="367">
      <c r="A367" s="27"/>
      <c r="C367" s="22"/>
      <c r="K367" s="3"/>
      <c r="L367" s="27"/>
    </row>
    <row r="368">
      <c r="A368" s="27"/>
      <c r="C368" s="22"/>
      <c r="K368" s="3"/>
      <c r="L368" s="27"/>
    </row>
    <row r="369">
      <c r="A369" s="27"/>
      <c r="C369" s="22"/>
      <c r="K369" s="3"/>
      <c r="L369" s="27"/>
    </row>
    <row r="370">
      <c r="A370" s="27"/>
      <c r="C370" s="22"/>
      <c r="K370" s="3"/>
      <c r="L370" s="27"/>
    </row>
    <row r="371">
      <c r="A371" s="27"/>
      <c r="C371" s="22"/>
      <c r="K371" s="3"/>
      <c r="L371" s="27"/>
    </row>
    <row r="372">
      <c r="A372" s="27"/>
      <c r="C372" s="22"/>
      <c r="K372" s="3"/>
      <c r="L372" s="27"/>
    </row>
    <row r="373">
      <c r="A373" s="27"/>
      <c r="C373" s="22"/>
      <c r="K373" s="3"/>
      <c r="L373" s="27"/>
    </row>
    <row r="374">
      <c r="A374" s="27"/>
      <c r="C374" s="22"/>
      <c r="K374" s="3"/>
      <c r="L374" s="27"/>
    </row>
    <row r="375">
      <c r="A375" s="27"/>
      <c r="C375" s="22"/>
      <c r="K375" s="3"/>
      <c r="L375" s="27"/>
    </row>
    <row r="376">
      <c r="A376" s="27"/>
      <c r="C376" s="22"/>
      <c r="K376" s="3"/>
      <c r="L376" s="27"/>
    </row>
    <row r="377">
      <c r="A377" s="27"/>
      <c r="C377" s="22"/>
      <c r="K377" s="3"/>
      <c r="L377" s="27"/>
    </row>
    <row r="378">
      <c r="A378" s="27"/>
      <c r="C378" s="22"/>
      <c r="K378" s="3"/>
      <c r="L378" s="27"/>
    </row>
    <row r="379">
      <c r="A379" s="27"/>
      <c r="C379" s="22"/>
      <c r="K379" s="3"/>
      <c r="L379" s="27"/>
    </row>
    <row r="380">
      <c r="A380" s="27"/>
      <c r="C380" s="22"/>
      <c r="K380" s="3"/>
      <c r="L380" s="27"/>
    </row>
    <row r="381">
      <c r="A381" s="27"/>
      <c r="C381" s="22"/>
      <c r="K381" s="3"/>
      <c r="L381" s="27"/>
    </row>
    <row r="382">
      <c r="A382" s="27"/>
      <c r="C382" s="22"/>
      <c r="K382" s="3"/>
      <c r="L382" s="27"/>
    </row>
    <row r="383">
      <c r="A383" s="27"/>
      <c r="C383" s="22"/>
      <c r="K383" s="3"/>
      <c r="L383" s="27"/>
    </row>
    <row r="384">
      <c r="A384" s="27"/>
      <c r="C384" s="22"/>
      <c r="K384" s="3"/>
      <c r="L384" s="27"/>
    </row>
    <row r="385">
      <c r="A385" s="27"/>
      <c r="C385" s="22"/>
      <c r="K385" s="3"/>
      <c r="L385" s="27"/>
    </row>
    <row r="386">
      <c r="A386" s="27"/>
      <c r="C386" s="22"/>
      <c r="K386" s="3"/>
      <c r="L386" s="27"/>
    </row>
    <row r="387">
      <c r="A387" s="27"/>
      <c r="C387" s="22"/>
      <c r="K387" s="3"/>
      <c r="L387" s="27"/>
    </row>
    <row r="388">
      <c r="A388" s="27"/>
      <c r="C388" s="22"/>
      <c r="K388" s="3"/>
      <c r="L388" s="27"/>
    </row>
    <row r="389">
      <c r="A389" s="27"/>
      <c r="C389" s="22"/>
      <c r="K389" s="3"/>
      <c r="L389" s="27"/>
    </row>
    <row r="390">
      <c r="A390" s="27"/>
      <c r="C390" s="22"/>
      <c r="K390" s="3"/>
      <c r="L390" s="27"/>
    </row>
    <row r="391">
      <c r="A391" s="27"/>
      <c r="C391" s="22"/>
      <c r="K391" s="3"/>
      <c r="L391" s="27"/>
    </row>
    <row r="392">
      <c r="A392" s="27"/>
      <c r="C392" s="22"/>
      <c r="K392" s="3"/>
      <c r="L392" s="27"/>
    </row>
    <row r="393">
      <c r="A393" s="27"/>
      <c r="C393" s="22"/>
      <c r="K393" s="3"/>
      <c r="L393" s="27"/>
    </row>
    <row r="394">
      <c r="A394" s="27"/>
      <c r="C394" s="22"/>
      <c r="K394" s="3"/>
      <c r="L394" s="27"/>
    </row>
    <row r="395">
      <c r="A395" s="27"/>
      <c r="C395" s="22"/>
      <c r="K395" s="3"/>
      <c r="L395" s="27"/>
    </row>
    <row r="396">
      <c r="A396" s="27"/>
      <c r="C396" s="22"/>
      <c r="K396" s="3"/>
      <c r="L396" s="27"/>
    </row>
    <row r="397">
      <c r="A397" s="27"/>
      <c r="C397" s="22"/>
      <c r="K397" s="3"/>
      <c r="L397" s="27"/>
    </row>
    <row r="398">
      <c r="A398" s="27"/>
      <c r="C398" s="22"/>
      <c r="K398" s="3"/>
      <c r="L398" s="27"/>
    </row>
    <row r="399">
      <c r="A399" s="27"/>
      <c r="C399" s="22"/>
      <c r="K399" s="3"/>
      <c r="L399" s="27"/>
    </row>
    <row r="400">
      <c r="A400" s="27"/>
      <c r="C400" s="22"/>
      <c r="K400" s="3"/>
      <c r="L400" s="27"/>
    </row>
    <row r="401">
      <c r="A401" s="27"/>
      <c r="C401" s="22"/>
      <c r="K401" s="3"/>
      <c r="L401" s="27"/>
    </row>
    <row r="402">
      <c r="A402" s="27"/>
      <c r="C402" s="22"/>
      <c r="K402" s="3"/>
      <c r="L402" s="27"/>
    </row>
    <row r="403">
      <c r="A403" s="27"/>
      <c r="C403" s="22"/>
      <c r="K403" s="3"/>
      <c r="L403" s="27"/>
    </row>
    <row r="404">
      <c r="A404" s="27"/>
      <c r="C404" s="22"/>
      <c r="K404" s="3"/>
      <c r="L404" s="27"/>
    </row>
    <row r="405">
      <c r="A405" s="27"/>
      <c r="C405" s="22"/>
      <c r="K405" s="3"/>
      <c r="L405" s="27"/>
    </row>
    <row r="406">
      <c r="A406" s="27"/>
      <c r="C406" s="22"/>
      <c r="K406" s="3"/>
      <c r="L406" s="27"/>
    </row>
    <row r="407">
      <c r="A407" s="27"/>
      <c r="C407" s="22"/>
      <c r="K407" s="3"/>
      <c r="L407" s="27"/>
    </row>
    <row r="408">
      <c r="A408" s="27"/>
      <c r="C408" s="22"/>
      <c r="K408" s="3"/>
      <c r="L408" s="27"/>
    </row>
    <row r="409">
      <c r="A409" s="27"/>
      <c r="C409" s="22"/>
      <c r="K409" s="3"/>
      <c r="L409" s="27"/>
    </row>
    <row r="410">
      <c r="A410" s="27"/>
      <c r="C410" s="22"/>
      <c r="K410" s="3"/>
      <c r="L410" s="27"/>
    </row>
    <row r="411">
      <c r="A411" s="27"/>
      <c r="C411" s="22"/>
      <c r="K411" s="3"/>
      <c r="L411" s="27"/>
    </row>
    <row r="412">
      <c r="A412" s="27"/>
      <c r="C412" s="22"/>
      <c r="K412" s="3"/>
      <c r="L412" s="27"/>
    </row>
    <row r="413">
      <c r="A413" s="27"/>
      <c r="C413" s="22"/>
      <c r="K413" s="3"/>
      <c r="L413" s="27"/>
    </row>
    <row r="414">
      <c r="A414" s="27"/>
      <c r="C414" s="22"/>
      <c r="K414" s="3"/>
      <c r="L414" s="27"/>
    </row>
    <row r="415">
      <c r="A415" s="27"/>
      <c r="C415" s="22"/>
      <c r="K415" s="3"/>
      <c r="L415" s="27"/>
    </row>
    <row r="416">
      <c r="A416" s="27"/>
      <c r="C416" s="22"/>
      <c r="K416" s="3"/>
      <c r="L416" s="27"/>
    </row>
    <row r="417">
      <c r="A417" s="27"/>
      <c r="C417" s="22"/>
      <c r="K417" s="3"/>
      <c r="L417" s="27"/>
    </row>
    <row r="418">
      <c r="A418" s="27"/>
      <c r="C418" s="22"/>
      <c r="K418" s="3"/>
      <c r="L418" s="27"/>
    </row>
    <row r="419">
      <c r="A419" s="27"/>
      <c r="C419" s="22"/>
      <c r="K419" s="3"/>
      <c r="L419" s="27"/>
    </row>
    <row r="420">
      <c r="A420" s="27"/>
      <c r="C420" s="22"/>
      <c r="K420" s="3"/>
      <c r="L420" s="27"/>
    </row>
    <row r="421">
      <c r="A421" s="27"/>
      <c r="C421" s="22"/>
      <c r="K421" s="3"/>
      <c r="L421" s="27"/>
    </row>
    <row r="422">
      <c r="A422" s="27"/>
      <c r="C422" s="22"/>
      <c r="K422" s="3"/>
      <c r="L422" s="27"/>
    </row>
    <row r="423">
      <c r="A423" s="27"/>
      <c r="C423" s="22"/>
      <c r="K423" s="3"/>
      <c r="L423" s="27"/>
    </row>
    <row r="424">
      <c r="A424" s="27"/>
      <c r="C424" s="22"/>
      <c r="K424" s="3"/>
      <c r="L424" s="27"/>
    </row>
    <row r="425">
      <c r="A425" s="27"/>
      <c r="C425" s="22"/>
      <c r="K425" s="3"/>
      <c r="L425" s="27"/>
    </row>
    <row r="426">
      <c r="A426" s="27"/>
      <c r="C426" s="22"/>
      <c r="K426" s="3"/>
      <c r="L426" s="27"/>
    </row>
    <row r="427">
      <c r="A427" s="27"/>
      <c r="C427" s="22"/>
      <c r="K427" s="3"/>
      <c r="L427" s="27"/>
    </row>
    <row r="428">
      <c r="A428" s="27"/>
      <c r="C428" s="22"/>
      <c r="K428" s="3"/>
      <c r="L428" s="27"/>
    </row>
    <row r="429">
      <c r="A429" s="27"/>
      <c r="C429" s="22"/>
      <c r="K429" s="3"/>
      <c r="L429" s="27"/>
    </row>
    <row r="430">
      <c r="A430" s="27"/>
      <c r="C430" s="22"/>
      <c r="K430" s="3"/>
      <c r="L430" s="27"/>
    </row>
    <row r="431">
      <c r="A431" s="27"/>
      <c r="C431" s="22"/>
      <c r="K431" s="3"/>
      <c r="L431" s="27"/>
    </row>
    <row r="432">
      <c r="A432" s="27"/>
      <c r="C432" s="22"/>
      <c r="K432" s="3"/>
      <c r="L432" s="27"/>
    </row>
    <row r="433">
      <c r="A433" s="27"/>
      <c r="C433" s="22"/>
      <c r="K433" s="3"/>
      <c r="L433" s="27"/>
    </row>
    <row r="434">
      <c r="A434" s="27"/>
      <c r="C434" s="22"/>
      <c r="K434" s="3"/>
      <c r="L434" s="27"/>
    </row>
    <row r="435">
      <c r="A435" s="27"/>
      <c r="C435" s="22"/>
      <c r="K435" s="3"/>
      <c r="L435" s="27"/>
    </row>
    <row r="436">
      <c r="A436" s="27"/>
      <c r="C436" s="22"/>
      <c r="K436" s="3"/>
      <c r="L436" s="27"/>
    </row>
    <row r="437">
      <c r="A437" s="27"/>
      <c r="C437" s="22"/>
      <c r="K437" s="3"/>
      <c r="L437" s="27"/>
    </row>
    <row r="438">
      <c r="A438" s="27"/>
      <c r="C438" s="22"/>
      <c r="K438" s="3"/>
      <c r="L438" s="27"/>
    </row>
    <row r="439">
      <c r="A439" s="27"/>
      <c r="C439" s="22"/>
      <c r="K439" s="3"/>
      <c r="L439" s="27"/>
    </row>
    <row r="440">
      <c r="A440" s="27"/>
      <c r="C440" s="22"/>
      <c r="K440" s="3"/>
      <c r="L440" s="27"/>
    </row>
    <row r="441">
      <c r="A441" s="27"/>
      <c r="C441" s="22"/>
      <c r="K441" s="3"/>
      <c r="L441" s="27"/>
    </row>
    <row r="442">
      <c r="A442" s="27"/>
      <c r="C442" s="22"/>
      <c r="K442" s="3"/>
      <c r="L442" s="27"/>
    </row>
    <row r="443">
      <c r="A443" s="27"/>
      <c r="C443" s="22"/>
      <c r="K443" s="3"/>
      <c r="L443" s="27"/>
    </row>
    <row r="444">
      <c r="A444" s="27"/>
      <c r="C444" s="22"/>
      <c r="K444" s="3"/>
      <c r="L444" s="27"/>
    </row>
    <row r="445">
      <c r="A445" s="27"/>
      <c r="C445" s="22"/>
      <c r="K445" s="3"/>
      <c r="L445" s="27"/>
    </row>
    <row r="446">
      <c r="A446" s="27"/>
      <c r="C446" s="22"/>
      <c r="K446" s="3"/>
      <c r="L446" s="27"/>
    </row>
    <row r="447">
      <c r="A447" s="27"/>
      <c r="C447" s="22"/>
      <c r="K447" s="3"/>
      <c r="L447" s="27"/>
    </row>
    <row r="448">
      <c r="A448" s="27"/>
      <c r="C448" s="22"/>
      <c r="K448" s="3"/>
      <c r="L448" s="27"/>
    </row>
    <row r="449">
      <c r="A449" s="27"/>
      <c r="C449" s="22"/>
      <c r="K449" s="3"/>
      <c r="L449" s="27"/>
    </row>
    <row r="450">
      <c r="A450" s="27"/>
      <c r="C450" s="22"/>
      <c r="K450" s="3"/>
      <c r="L450" s="27"/>
    </row>
    <row r="451">
      <c r="A451" s="27"/>
      <c r="C451" s="22"/>
      <c r="K451" s="3"/>
      <c r="L451" s="27"/>
    </row>
    <row r="452">
      <c r="A452" s="27"/>
      <c r="C452" s="22"/>
      <c r="K452" s="3"/>
      <c r="L452" s="27"/>
    </row>
    <row r="453">
      <c r="A453" s="27"/>
      <c r="C453" s="22"/>
      <c r="K453" s="3"/>
      <c r="L453" s="27"/>
    </row>
    <row r="454">
      <c r="A454" s="27"/>
      <c r="C454" s="22"/>
      <c r="K454" s="3"/>
      <c r="L454" s="27"/>
    </row>
    <row r="455">
      <c r="A455" s="27"/>
      <c r="C455" s="22"/>
      <c r="K455" s="3"/>
      <c r="L455" s="27"/>
    </row>
    <row r="456">
      <c r="A456" s="27"/>
      <c r="C456" s="22"/>
      <c r="K456" s="3"/>
      <c r="L456" s="27"/>
    </row>
    <row r="457">
      <c r="A457" s="27"/>
      <c r="C457" s="22"/>
      <c r="K457" s="3"/>
      <c r="L457" s="27"/>
    </row>
    <row r="458">
      <c r="A458" s="27"/>
      <c r="C458" s="22"/>
      <c r="K458" s="3"/>
      <c r="L458" s="27"/>
    </row>
    <row r="459">
      <c r="A459" s="27"/>
      <c r="C459" s="22"/>
      <c r="K459" s="3"/>
      <c r="L459" s="27"/>
    </row>
    <row r="460">
      <c r="A460" s="27"/>
      <c r="C460" s="22"/>
      <c r="K460" s="3"/>
      <c r="L460" s="27"/>
    </row>
    <row r="461">
      <c r="A461" s="27"/>
      <c r="C461" s="22"/>
      <c r="K461" s="3"/>
      <c r="L461" s="27"/>
    </row>
    <row r="462">
      <c r="A462" s="27"/>
      <c r="C462" s="22"/>
      <c r="K462" s="3"/>
      <c r="L462" s="27"/>
    </row>
    <row r="463">
      <c r="A463" s="27"/>
      <c r="C463" s="22"/>
      <c r="K463" s="3"/>
      <c r="L463" s="27"/>
    </row>
    <row r="464">
      <c r="A464" s="27"/>
      <c r="C464" s="22"/>
      <c r="K464" s="3"/>
      <c r="L464" s="27"/>
    </row>
    <row r="465">
      <c r="A465" s="27"/>
      <c r="C465" s="22"/>
      <c r="K465" s="3"/>
      <c r="L465" s="27"/>
    </row>
    <row r="466">
      <c r="A466" s="27"/>
      <c r="C466" s="22"/>
      <c r="K466" s="3"/>
      <c r="L466" s="27"/>
    </row>
    <row r="467">
      <c r="A467" s="27"/>
      <c r="C467" s="22"/>
      <c r="K467" s="3"/>
      <c r="L467" s="27"/>
    </row>
    <row r="468">
      <c r="A468" s="27"/>
      <c r="C468" s="22"/>
      <c r="K468" s="3"/>
      <c r="L468" s="27"/>
    </row>
    <row r="469">
      <c r="A469" s="27"/>
      <c r="C469" s="22"/>
      <c r="K469" s="3"/>
      <c r="L469" s="27"/>
    </row>
    <row r="470">
      <c r="A470" s="27"/>
      <c r="C470" s="22"/>
      <c r="K470" s="3"/>
      <c r="L470" s="27"/>
    </row>
    <row r="471">
      <c r="A471" s="27"/>
      <c r="C471" s="22"/>
      <c r="K471" s="3"/>
      <c r="L471" s="27"/>
    </row>
    <row r="472">
      <c r="A472" s="27"/>
      <c r="C472" s="22"/>
      <c r="K472" s="3"/>
      <c r="L472" s="27"/>
    </row>
    <row r="473">
      <c r="A473" s="27"/>
      <c r="C473" s="22"/>
      <c r="K473" s="3"/>
      <c r="L473" s="27"/>
    </row>
    <row r="474">
      <c r="A474" s="27"/>
      <c r="C474" s="22"/>
      <c r="K474" s="3"/>
      <c r="L474" s="27"/>
    </row>
    <row r="475">
      <c r="A475" s="27"/>
      <c r="C475" s="22"/>
      <c r="K475" s="3"/>
      <c r="L475" s="27"/>
    </row>
    <row r="476">
      <c r="A476" s="27"/>
      <c r="C476" s="22"/>
      <c r="K476" s="3"/>
      <c r="L476" s="27"/>
    </row>
    <row r="477">
      <c r="A477" s="27"/>
      <c r="C477" s="22"/>
      <c r="K477" s="3"/>
      <c r="L477" s="27"/>
    </row>
    <row r="478">
      <c r="A478" s="27"/>
      <c r="C478" s="22"/>
      <c r="K478" s="3"/>
      <c r="L478" s="27"/>
    </row>
    <row r="479">
      <c r="A479" s="27"/>
      <c r="C479" s="22"/>
      <c r="K479" s="3"/>
      <c r="L479" s="27"/>
    </row>
    <row r="480">
      <c r="A480" s="27"/>
      <c r="C480" s="22"/>
      <c r="K480" s="3"/>
      <c r="L480" s="27"/>
    </row>
    <row r="481">
      <c r="A481" s="27"/>
      <c r="C481" s="22"/>
      <c r="K481" s="3"/>
      <c r="L481" s="27"/>
    </row>
    <row r="482">
      <c r="A482" s="27"/>
      <c r="C482" s="22"/>
      <c r="K482" s="3"/>
      <c r="L482" s="27"/>
    </row>
    <row r="483">
      <c r="A483" s="27"/>
      <c r="C483" s="22"/>
      <c r="K483" s="3"/>
      <c r="L483" s="27"/>
    </row>
    <row r="484">
      <c r="A484" s="27"/>
      <c r="C484" s="22"/>
      <c r="K484" s="3"/>
      <c r="L484" s="27"/>
    </row>
    <row r="485">
      <c r="A485" s="27"/>
      <c r="C485" s="22"/>
      <c r="K485" s="3"/>
      <c r="L485" s="27"/>
    </row>
    <row r="486">
      <c r="A486" s="27"/>
      <c r="C486" s="22"/>
      <c r="K486" s="3"/>
      <c r="L486" s="27"/>
    </row>
    <row r="487">
      <c r="A487" s="27"/>
      <c r="C487" s="22"/>
      <c r="K487" s="3"/>
      <c r="L487" s="27"/>
    </row>
    <row r="488">
      <c r="A488" s="27"/>
      <c r="C488" s="22"/>
      <c r="K488" s="3"/>
      <c r="L488" s="27"/>
    </row>
    <row r="489">
      <c r="A489" s="27"/>
      <c r="C489" s="22"/>
      <c r="K489" s="3"/>
      <c r="L489" s="27"/>
    </row>
    <row r="490">
      <c r="A490" s="27"/>
      <c r="C490" s="22"/>
      <c r="K490" s="3"/>
      <c r="L490" s="27"/>
    </row>
    <row r="491">
      <c r="A491" s="27"/>
      <c r="C491" s="22"/>
      <c r="K491" s="3"/>
      <c r="L491" s="27"/>
    </row>
    <row r="492">
      <c r="A492" s="27"/>
      <c r="C492" s="22"/>
      <c r="K492" s="3"/>
      <c r="L492" s="27"/>
    </row>
    <row r="493">
      <c r="A493" s="27"/>
      <c r="C493" s="22"/>
      <c r="K493" s="3"/>
      <c r="L493" s="27"/>
    </row>
    <row r="494">
      <c r="A494" s="27"/>
      <c r="C494" s="22"/>
      <c r="K494" s="3"/>
      <c r="L494" s="27"/>
    </row>
    <row r="495">
      <c r="A495" s="27"/>
      <c r="C495" s="22"/>
      <c r="K495" s="3"/>
      <c r="L495" s="27"/>
    </row>
    <row r="496">
      <c r="A496" s="27"/>
      <c r="C496" s="22"/>
      <c r="K496" s="3"/>
      <c r="L496" s="27"/>
    </row>
    <row r="497">
      <c r="A497" s="27"/>
      <c r="C497" s="22"/>
      <c r="K497" s="3"/>
      <c r="L497" s="27"/>
    </row>
    <row r="498">
      <c r="A498" s="27"/>
      <c r="C498" s="22"/>
      <c r="K498" s="3"/>
      <c r="L498" s="27"/>
    </row>
    <row r="499">
      <c r="A499" s="27"/>
      <c r="C499" s="22"/>
      <c r="K499" s="3"/>
      <c r="L499" s="27"/>
    </row>
    <row r="500">
      <c r="A500" s="27"/>
      <c r="C500" s="22"/>
      <c r="K500" s="3"/>
      <c r="L500" s="27"/>
    </row>
    <row r="501">
      <c r="A501" s="27"/>
      <c r="C501" s="22"/>
      <c r="K501" s="3"/>
      <c r="L501" s="27"/>
    </row>
    <row r="502">
      <c r="A502" s="27"/>
      <c r="C502" s="22"/>
      <c r="K502" s="3"/>
      <c r="L502" s="27"/>
    </row>
    <row r="503">
      <c r="A503" s="27"/>
      <c r="C503" s="22"/>
      <c r="K503" s="3"/>
      <c r="L503" s="27"/>
    </row>
    <row r="504">
      <c r="A504" s="27"/>
      <c r="C504" s="22"/>
      <c r="K504" s="3"/>
      <c r="L504" s="27"/>
    </row>
    <row r="505">
      <c r="A505" s="27"/>
      <c r="C505" s="22"/>
      <c r="K505" s="3"/>
      <c r="L505" s="27"/>
    </row>
    <row r="506">
      <c r="A506" s="27"/>
      <c r="C506" s="22"/>
      <c r="K506" s="3"/>
      <c r="L506" s="27"/>
    </row>
    <row r="507">
      <c r="A507" s="27"/>
      <c r="C507" s="22"/>
      <c r="K507" s="3"/>
      <c r="L507" s="27"/>
    </row>
    <row r="508">
      <c r="A508" s="27"/>
      <c r="C508" s="22"/>
      <c r="K508" s="3"/>
      <c r="L508" s="27"/>
    </row>
    <row r="509">
      <c r="A509" s="27"/>
      <c r="C509" s="22"/>
      <c r="K509" s="3"/>
      <c r="L509" s="27"/>
    </row>
    <row r="510">
      <c r="A510" s="27"/>
      <c r="C510" s="22"/>
      <c r="K510" s="3"/>
      <c r="L510" s="27"/>
    </row>
    <row r="511">
      <c r="A511" s="27"/>
      <c r="C511" s="22"/>
      <c r="K511" s="3"/>
      <c r="L511" s="27"/>
    </row>
    <row r="512">
      <c r="A512" s="27"/>
      <c r="C512" s="22"/>
      <c r="K512" s="3"/>
      <c r="L512" s="27"/>
    </row>
    <row r="513">
      <c r="A513" s="27"/>
      <c r="C513" s="22"/>
      <c r="K513" s="3"/>
      <c r="L513" s="27"/>
    </row>
    <row r="514">
      <c r="A514" s="27"/>
      <c r="C514" s="22"/>
      <c r="K514" s="3"/>
      <c r="L514" s="27"/>
    </row>
    <row r="515">
      <c r="A515" s="27"/>
      <c r="C515" s="22"/>
      <c r="K515" s="3"/>
      <c r="L515" s="27"/>
    </row>
    <row r="516">
      <c r="A516" s="27"/>
      <c r="C516" s="22"/>
      <c r="K516" s="3"/>
      <c r="L516" s="27"/>
    </row>
    <row r="517">
      <c r="A517" s="27"/>
      <c r="C517" s="22"/>
      <c r="K517" s="3"/>
      <c r="L517" s="27"/>
    </row>
    <row r="518">
      <c r="A518" s="27"/>
      <c r="C518" s="22"/>
      <c r="K518" s="3"/>
      <c r="L518" s="27"/>
    </row>
    <row r="519">
      <c r="A519" s="27"/>
      <c r="C519" s="22"/>
      <c r="K519" s="3"/>
      <c r="L519" s="27"/>
    </row>
    <row r="520">
      <c r="A520" s="27"/>
      <c r="C520" s="22"/>
      <c r="K520" s="3"/>
      <c r="L520" s="27"/>
    </row>
    <row r="521">
      <c r="A521" s="27"/>
      <c r="C521" s="22"/>
      <c r="K521" s="3"/>
      <c r="L521" s="27"/>
    </row>
    <row r="522">
      <c r="A522" s="27"/>
      <c r="C522" s="22"/>
      <c r="K522" s="3"/>
      <c r="L522" s="27"/>
    </row>
    <row r="523">
      <c r="A523" s="27"/>
      <c r="C523" s="22"/>
      <c r="K523" s="3"/>
      <c r="L523" s="27"/>
    </row>
    <row r="524">
      <c r="A524" s="27"/>
      <c r="C524" s="22"/>
      <c r="K524" s="3"/>
      <c r="L524" s="27"/>
    </row>
    <row r="525">
      <c r="A525" s="27"/>
      <c r="C525" s="22"/>
      <c r="K525" s="3"/>
      <c r="L525" s="27"/>
    </row>
    <row r="526">
      <c r="A526" s="27"/>
      <c r="C526" s="22"/>
      <c r="K526" s="3"/>
      <c r="L526" s="27"/>
    </row>
    <row r="527">
      <c r="A527" s="27"/>
      <c r="C527" s="22"/>
      <c r="K527" s="3"/>
      <c r="L527" s="27"/>
    </row>
    <row r="528">
      <c r="A528" s="27"/>
      <c r="C528" s="22"/>
      <c r="K528" s="3"/>
      <c r="L528" s="27"/>
    </row>
    <row r="529">
      <c r="C529" s="22"/>
      <c r="K529" s="3"/>
      <c r="L529" s="27"/>
    </row>
    <row r="530">
      <c r="C530" s="22"/>
      <c r="K530" s="3"/>
      <c r="L530" s="27"/>
    </row>
    <row r="531">
      <c r="C531" s="22"/>
      <c r="K531" s="3"/>
      <c r="L531" s="27"/>
    </row>
    <row r="532">
      <c r="C532" s="22"/>
      <c r="K532" s="3"/>
      <c r="L532" s="27"/>
    </row>
    <row r="533">
      <c r="C533" s="22"/>
      <c r="K533" s="3"/>
      <c r="L533" s="27"/>
    </row>
    <row r="534">
      <c r="C534" s="22"/>
      <c r="K534" s="3"/>
      <c r="L534" s="27"/>
    </row>
    <row r="535">
      <c r="C535" s="22"/>
      <c r="K535" s="3"/>
      <c r="L535" s="27"/>
    </row>
    <row r="536">
      <c r="C536" s="22"/>
      <c r="K536" s="3"/>
      <c r="L536" s="27"/>
    </row>
    <row r="537">
      <c r="C537" s="22"/>
      <c r="K537" s="3"/>
      <c r="L537" s="27"/>
    </row>
    <row r="538">
      <c r="C538" s="22"/>
      <c r="K538" s="3"/>
      <c r="L538" s="27"/>
    </row>
    <row r="539">
      <c r="C539" s="22"/>
      <c r="K539" s="3"/>
      <c r="L539" s="27"/>
    </row>
    <row r="540">
      <c r="C540" s="22"/>
      <c r="K540" s="3"/>
      <c r="L540" s="27"/>
    </row>
    <row r="541">
      <c r="C541" s="22"/>
      <c r="K541" s="3"/>
      <c r="L541" s="27"/>
    </row>
    <row r="542">
      <c r="C542" s="22"/>
      <c r="K542" s="3"/>
      <c r="L542" s="27"/>
    </row>
    <row r="543">
      <c r="C543" s="22"/>
      <c r="K543" s="3"/>
      <c r="L543" s="27"/>
    </row>
    <row r="544">
      <c r="C544" s="22"/>
      <c r="K544" s="3"/>
      <c r="L544" s="27"/>
    </row>
    <row r="545">
      <c r="C545" s="22"/>
      <c r="K545" s="3"/>
      <c r="L545" s="27"/>
    </row>
    <row r="546">
      <c r="C546" s="22"/>
      <c r="K546" s="3"/>
      <c r="L546" s="27"/>
    </row>
    <row r="547">
      <c r="C547" s="22"/>
      <c r="K547" s="3"/>
      <c r="L547" s="27"/>
    </row>
    <row r="548">
      <c r="C548" s="22"/>
      <c r="K548" s="3"/>
      <c r="L548" s="27"/>
    </row>
    <row r="549">
      <c r="C549" s="22"/>
      <c r="K549" s="3"/>
      <c r="L549" s="27"/>
    </row>
    <row r="550">
      <c r="C550" s="22"/>
      <c r="K550" s="3"/>
      <c r="L550" s="27"/>
    </row>
    <row r="551">
      <c r="C551" s="22"/>
      <c r="K551" s="3"/>
      <c r="L551" s="27"/>
    </row>
    <row r="552">
      <c r="C552" s="22"/>
      <c r="K552" s="3"/>
      <c r="L552" s="27"/>
    </row>
    <row r="553">
      <c r="C553" s="22"/>
      <c r="K553" s="3"/>
      <c r="L553" s="27"/>
    </row>
    <row r="554">
      <c r="C554" s="22"/>
      <c r="K554" s="3"/>
      <c r="L554" s="27"/>
    </row>
    <row r="555">
      <c r="C555" s="22"/>
      <c r="K555" s="3"/>
      <c r="L555" s="27"/>
    </row>
    <row r="556">
      <c r="C556" s="22"/>
      <c r="K556" s="3"/>
      <c r="L556" s="27"/>
    </row>
    <row r="557">
      <c r="C557" s="22"/>
      <c r="K557" s="3"/>
      <c r="L557" s="27"/>
    </row>
    <row r="558">
      <c r="C558" s="22"/>
      <c r="K558" s="3"/>
      <c r="L558" s="27"/>
    </row>
    <row r="559">
      <c r="C559" s="22"/>
      <c r="K559" s="3"/>
      <c r="L559" s="27"/>
    </row>
    <row r="560">
      <c r="C560" s="22"/>
      <c r="K560" s="3"/>
      <c r="L560" s="27"/>
    </row>
    <row r="561">
      <c r="C561" s="22"/>
      <c r="K561" s="3"/>
      <c r="L561" s="27"/>
    </row>
    <row r="562">
      <c r="C562" s="22"/>
      <c r="K562" s="3"/>
      <c r="L562" s="27"/>
    </row>
    <row r="563">
      <c r="C563" s="22"/>
      <c r="K563" s="3"/>
      <c r="L563" s="27"/>
    </row>
    <row r="564">
      <c r="C564" s="22"/>
      <c r="K564" s="3"/>
      <c r="L564" s="27"/>
    </row>
    <row r="565">
      <c r="C565" s="22"/>
      <c r="K565" s="3"/>
      <c r="L565" s="27"/>
    </row>
    <row r="566">
      <c r="C566" s="22"/>
      <c r="K566" s="3"/>
      <c r="L566" s="27"/>
    </row>
    <row r="567">
      <c r="C567" s="22"/>
      <c r="K567" s="3"/>
      <c r="L567" s="27"/>
    </row>
    <row r="568">
      <c r="C568" s="22"/>
      <c r="K568" s="3"/>
      <c r="L568" s="27"/>
    </row>
    <row r="569">
      <c r="C569" s="22"/>
      <c r="K569" s="3"/>
      <c r="L569" s="27"/>
    </row>
    <row r="570">
      <c r="C570" s="22"/>
      <c r="K570" s="3"/>
      <c r="L570" s="27"/>
    </row>
    <row r="571">
      <c r="C571" s="22"/>
      <c r="K571" s="3"/>
      <c r="L571" s="27"/>
    </row>
    <row r="572">
      <c r="C572" s="22"/>
      <c r="K572" s="3"/>
      <c r="L572" s="27"/>
    </row>
    <row r="573">
      <c r="C573" s="22"/>
      <c r="K573" s="3"/>
      <c r="L573" s="27"/>
    </row>
    <row r="574">
      <c r="C574" s="22"/>
      <c r="K574" s="3"/>
      <c r="L574" s="27"/>
    </row>
    <row r="575">
      <c r="C575" s="22"/>
      <c r="K575" s="3"/>
      <c r="L575" s="27"/>
    </row>
    <row r="576">
      <c r="C576" s="22"/>
      <c r="K576" s="3"/>
      <c r="L576" s="27"/>
    </row>
    <row r="577">
      <c r="C577" s="22"/>
      <c r="K577" s="3"/>
      <c r="L577" s="27"/>
    </row>
    <row r="578">
      <c r="C578" s="22"/>
      <c r="K578" s="3"/>
      <c r="L578" s="27"/>
    </row>
    <row r="579">
      <c r="C579" s="22"/>
      <c r="K579" s="3"/>
      <c r="L579" s="27"/>
    </row>
    <row r="580">
      <c r="C580" s="22"/>
      <c r="K580" s="3"/>
      <c r="L580" s="27"/>
    </row>
    <row r="581">
      <c r="C581" s="22"/>
      <c r="K581" s="3"/>
      <c r="L581" s="27"/>
    </row>
    <row r="582">
      <c r="C582" s="22"/>
      <c r="K582" s="3"/>
      <c r="L582" s="27"/>
    </row>
    <row r="583">
      <c r="C583" s="22"/>
      <c r="K583" s="3"/>
      <c r="L583" s="27"/>
    </row>
    <row r="584">
      <c r="C584" s="22"/>
      <c r="K584" s="3"/>
      <c r="L584" s="27"/>
    </row>
    <row r="585">
      <c r="C585" s="22"/>
      <c r="K585" s="3"/>
      <c r="L585" s="27"/>
    </row>
    <row r="586">
      <c r="C586" s="22"/>
      <c r="K586" s="3"/>
      <c r="L586" s="27"/>
    </row>
    <row r="587">
      <c r="C587" s="22"/>
      <c r="K587" s="3"/>
      <c r="L587" s="27"/>
    </row>
    <row r="588">
      <c r="C588" s="22"/>
      <c r="K588" s="3"/>
      <c r="L588" s="27"/>
    </row>
    <row r="589">
      <c r="C589" s="22"/>
      <c r="K589" s="3"/>
      <c r="L589" s="27"/>
    </row>
    <row r="590">
      <c r="C590" s="22"/>
      <c r="K590" s="3"/>
      <c r="L590" s="27"/>
    </row>
    <row r="591">
      <c r="C591" s="22"/>
      <c r="K591" s="3"/>
      <c r="L591" s="27"/>
    </row>
    <row r="592">
      <c r="C592" s="22"/>
      <c r="K592" s="3"/>
      <c r="L592" s="27"/>
    </row>
    <row r="593">
      <c r="C593" s="22"/>
      <c r="K593" s="3"/>
      <c r="L593" s="27"/>
    </row>
    <row r="594">
      <c r="C594" s="22"/>
      <c r="K594" s="3"/>
      <c r="L594" s="27"/>
    </row>
    <row r="595">
      <c r="C595" s="22"/>
      <c r="K595" s="3"/>
      <c r="L595" s="27"/>
    </row>
    <row r="596">
      <c r="C596" s="22"/>
      <c r="K596" s="3"/>
      <c r="L596" s="27"/>
    </row>
    <row r="597">
      <c r="C597" s="22"/>
      <c r="K597" s="3"/>
      <c r="L597" s="27"/>
    </row>
    <row r="598">
      <c r="C598" s="22"/>
      <c r="K598" s="3"/>
      <c r="L598" s="27"/>
    </row>
    <row r="599">
      <c r="C599" s="22"/>
      <c r="K599" s="3"/>
      <c r="L599" s="27"/>
    </row>
    <row r="600">
      <c r="C600" s="22"/>
      <c r="K600" s="3"/>
      <c r="L600" s="27"/>
    </row>
    <row r="601">
      <c r="C601" s="22"/>
      <c r="K601" s="3"/>
      <c r="L601" s="27"/>
    </row>
    <row r="602">
      <c r="C602" s="22"/>
      <c r="K602" s="3"/>
      <c r="L602" s="27"/>
    </row>
    <row r="603">
      <c r="C603" s="22"/>
      <c r="K603" s="3"/>
      <c r="L603" s="27"/>
    </row>
    <row r="604">
      <c r="C604" s="22"/>
      <c r="K604" s="3"/>
      <c r="L604" s="27"/>
    </row>
    <row r="605">
      <c r="C605" s="22"/>
      <c r="K605" s="3"/>
      <c r="L605" s="27"/>
    </row>
    <row r="606">
      <c r="C606" s="22"/>
      <c r="K606" s="3"/>
      <c r="L606" s="27"/>
    </row>
    <row r="607">
      <c r="C607" s="22"/>
      <c r="K607" s="3"/>
      <c r="L607" s="27"/>
    </row>
    <row r="608">
      <c r="C608" s="22"/>
      <c r="K608" s="3"/>
      <c r="L608" s="27"/>
    </row>
    <row r="609">
      <c r="C609" s="22"/>
      <c r="K609" s="3"/>
      <c r="L609" s="27"/>
    </row>
    <row r="610">
      <c r="C610" s="22"/>
      <c r="K610" s="3"/>
      <c r="L610" s="27"/>
    </row>
    <row r="611">
      <c r="C611" s="22"/>
      <c r="K611" s="3"/>
      <c r="L611" s="27"/>
    </row>
    <row r="612">
      <c r="C612" s="22"/>
      <c r="K612" s="3"/>
      <c r="L612" s="27"/>
    </row>
    <row r="613">
      <c r="C613" s="22"/>
      <c r="K613" s="3"/>
      <c r="L613" s="27"/>
    </row>
    <row r="614">
      <c r="C614" s="22"/>
      <c r="K614" s="3"/>
      <c r="L614" s="27"/>
    </row>
    <row r="615">
      <c r="C615" s="22"/>
      <c r="K615" s="3"/>
      <c r="L615" s="27"/>
    </row>
    <row r="616">
      <c r="C616" s="22"/>
      <c r="K616" s="3"/>
      <c r="L616" s="27"/>
    </row>
    <row r="617">
      <c r="C617" s="22"/>
      <c r="K617" s="3"/>
      <c r="L617" s="27"/>
    </row>
    <row r="618">
      <c r="C618" s="22"/>
      <c r="K618" s="3"/>
      <c r="L618" s="27"/>
    </row>
    <row r="619">
      <c r="C619" s="22"/>
      <c r="K619" s="3"/>
      <c r="L619" s="27"/>
    </row>
    <row r="620">
      <c r="C620" s="22"/>
      <c r="K620" s="3"/>
      <c r="L620" s="27"/>
    </row>
    <row r="621">
      <c r="C621" s="22"/>
      <c r="K621" s="3"/>
      <c r="L621" s="27"/>
    </row>
    <row r="622">
      <c r="C622" s="22"/>
      <c r="K622" s="3"/>
      <c r="L622" s="27"/>
    </row>
    <row r="623">
      <c r="C623" s="22"/>
      <c r="K623" s="3"/>
      <c r="L623" s="27"/>
    </row>
    <row r="624">
      <c r="C624" s="22"/>
      <c r="K624" s="3"/>
      <c r="L624" s="27"/>
    </row>
    <row r="625">
      <c r="C625" s="22"/>
      <c r="K625" s="3"/>
      <c r="L625" s="27"/>
    </row>
    <row r="626">
      <c r="C626" s="22"/>
      <c r="K626" s="3"/>
      <c r="L626" s="27"/>
    </row>
    <row r="627">
      <c r="C627" s="22"/>
      <c r="K627" s="3"/>
      <c r="L627" s="27"/>
    </row>
    <row r="628">
      <c r="C628" s="22"/>
      <c r="K628" s="3"/>
      <c r="L628" s="27"/>
    </row>
    <row r="629">
      <c r="C629" s="22"/>
      <c r="K629" s="3"/>
      <c r="L629" s="27"/>
    </row>
    <row r="630">
      <c r="C630" s="22"/>
      <c r="K630" s="3"/>
      <c r="L630" s="27"/>
    </row>
    <row r="631">
      <c r="C631" s="22"/>
      <c r="K631" s="3"/>
      <c r="L631" s="27"/>
    </row>
    <row r="632">
      <c r="C632" s="22"/>
      <c r="K632" s="3"/>
      <c r="L632" s="27"/>
    </row>
    <row r="633">
      <c r="C633" s="22"/>
      <c r="K633" s="3"/>
      <c r="L633" s="27"/>
    </row>
    <row r="634">
      <c r="C634" s="22"/>
      <c r="K634" s="3"/>
      <c r="L634" s="27"/>
    </row>
    <row r="635">
      <c r="C635" s="22"/>
      <c r="K635" s="3"/>
      <c r="L635" s="27"/>
    </row>
    <row r="636">
      <c r="C636" s="22"/>
      <c r="K636" s="3"/>
      <c r="L636" s="27"/>
    </row>
    <row r="637">
      <c r="C637" s="22"/>
      <c r="K637" s="3"/>
      <c r="L637" s="27"/>
    </row>
    <row r="638">
      <c r="C638" s="22"/>
      <c r="K638" s="3"/>
      <c r="L638" s="27"/>
    </row>
    <row r="639">
      <c r="C639" s="22"/>
      <c r="K639" s="3"/>
      <c r="L639" s="27"/>
    </row>
    <row r="640">
      <c r="C640" s="22"/>
      <c r="K640" s="3"/>
      <c r="L640" s="27"/>
    </row>
    <row r="641">
      <c r="C641" s="22"/>
      <c r="K641" s="3"/>
      <c r="L641" s="27"/>
    </row>
    <row r="642">
      <c r="C642" s="22"/>
      <c r="K642" s="3"/>
      <c r="L642" s="27"/>
    </row>
    <row r="643">
      <c r="C643" s="22"/>
      <c r="K643" s="3"/>
      <c r="L643" s="27"/>
    </row>
    <row r="644">
      <c r="C644" s="22"/>
      <c r="K644" s="3"/>
      <c r="L644" s="27"/>
    </row>
    <row r="645">
      <c r="C645" s="22"/>
      <c r="K645" s="3"/>
      <c r="L645" s="27"/>
    </row>
    <row r="646">
      <c r="C646" s="22"/>
      <c r="K646" s="3"/>
      <c r="L646" s="27"/>
    </row>
    <row r="647">
      <c r="C647" s="22"/>
      <c r="K647" s="3"/>
      <c r="L647" s="27"/>
    </row>
    <row r="648">
      <c r="C648" s="22"/>
      <c r="K648" s="3"/>
      <c r="L648" s="27"/>
    </row>
    <row r="649">
      <c r="C649" s="22"/>
      <c r="K649" s="3"/>
      <c r="L649" s="27"/>
    </row>
    <row r="650">
      <c r="C650" s="22"/>
      <c r="K650" s="3"/>
      <c r="L650" s="27"/>
    </row>
    <row r="651">
      <c r="C651" s="22"/>
      <c r="K651" s="3"/>
      <c r="L651" s="27"/>
    </row>
    <row r="652">
      <c r="C652" s="22"/>
      <c r="K652" s="3"/>
      <c r="L652" s="27"/>
    </row>
    <row r="653">
      <c r="C653" s="22"/>
      <c r="K653" s="3"/>
      <c r="L653" s="27"/>
    </row>
    <row r="654">
      <c r="C654" s="22"/>
      <c r="K654" s="3"/>
      <c r="L654" s="27"/>
    </row>
    <row r="655">
      <c r="C655" s="22"/>
      <c r="K655" s="3"/>
      <c r="L655" s="27"/>
    </row>
    <row r="656">
      <c r="C656" s="22"/>
      <c r="K656" s="3"/>
      <c r="L656" s="27"/>
    </row>
    <row r="657">
      <c r="C657" s="22"/>
      <c r="K657" s="3"/>
      <c r="L657" s="27"/>
    </row>
    <row r="658">
      <c r="C658" s="22"/>
      <c r="K658" s="3"/>
      <c r="L658" s="27"/>
    </row>
    <row r="659">
      <c r="C659" s="22"/>
      <c r="K659" s="3"/>
      <c r="L659" s="27"/>
    </row>
    <row r="660">
      <c r="C660" s="22"/>
      <c r="K660" s="3"/>
      <c r="L660" s="27"/>
    </row>
    <row r="661">
      <c r="C661" s="22"/>
      <c r="K661" s="3"/>
      <c r="L661" s="27"/>
    </row>
    <row r="662">
      <c r="C662" s="22"/>
      <c r="K662" s="3"/>
      <c r="L662" s="27"/>
    </row>
    <row r="663">
      <c r="C663" s="22"/>
      <c r="K663" s="3"/>
      <c r="L663" s="27"/>
    </row>
    <row r="664">
      <c r="C664" s="22"/>
      <c r="K664" s="3"/>
      <c r="L664" s="27"/>
    </row>
    <row r="665">
      <c r="C665" s="22"/>
      <c r="K665" s="3"/>
      <c r="L665" s="27"/>
    </row>
    <row r="666">
      <c r="C666" s="22"/>
      <c r="K666" s="3"/>
      <c r="L666" s="27"/>
    </row>
    <row r="667">
      <c r="C667" s="22"/>
      <c r="K667" s="3"/>
      <c r="L667" s="27"/>
    </row>
    <row r="668">
      <c r="C668" s="22"/>
      <c r="K668" s="3"/>
      <c r="L668" s="27"/>
    </row>
    <row r="669">
      <c r="C669" s="22"/>
      <c r="K669" s="3"/>
      <c r="L669" s="27"/>
    </row>
    <row r="670">
      <c r="C670" s="22"/>
      <c r="K670" s="3"/>
      <c r="L670" s="27"/>
    </row>
    <row r="671">
      <c r="C671" s="22"/>
      <c r="K671" s="3"/>
      <c r="L671" s="27"/>
    </row>
    <row r="672">
      <c r="C672" s="22"/>
      <c r="K672" s="3"/>
      <c r="L672" s="27"/>
    </row>
    <row r="673">
      <c r="C673" s="22"/>
      <c r="K673" s="3"/>
      <c r="L673" s="27"/>
    </row>
    <row r="674">
      <c r="C674" s="22"/>
      <c r="K674" s="3"/>
      <c r="L674" s="27"/>
    </row>
    <row r="675">
      <c r="C675" s="22"/>
      <c r="K675" s="3"/>
      <c r="L675" s="27"/>
    </row>
    <row r="676">
      <c r="C676" s="22"/>
      <c r="K676" s="3"/>
      <c r="L676" s="27"/>
    </row>
    <row r="677">
      <c r="C677" s="22"/>
      <c r="K677" s="3"/>
      <c r="L677" s="27"/>
    </row>
    <row r="678">
      <c r="C678" s="22"/>
      <c r="K678" s="3"/>
      <c r="L678" s="27"/>
    </row>
    <row r="679">
      <c r="C679" s="22"/>
      <c r="K679" s="3"/>
      <c r="L679" s="27"/>
    </row>
    <row r="680">
      <c r="C680" s="22"/>
      <c r="K680" s="3"/>
      <c r="L680" s="27"/>
    </row>
    <row r="681">
      <c r="C681" s="22"/>
      <c r="K681" s="3"/>
      <c r="L681" s="27"/>
    </row>
    <row r="682">
      <c r="C682" s="22"/>
      <c r="K682" s="3"/>
      <c r="L682" s="27"/>
    </row>
    <row r="683">
      <c r="C683" s="22"/>
      <c r="K683" s="3"/>
      <c r="L683" s="27"/>
    </row>
    <row r="684">
      <c r="C684" s="22"/>
      <c r="K684" s="3"/>
      <c r="L684" s="27"/>
    </row>
    <row r="685">
      <c r="C685" s="22"/>
      <c r="K685" s="3"/>
      <c r="L685" s="27"/>
    </row>
    <row r="686">
      <c r="C686" s="22"/>
      <c r="K686" s="3"/>
      <c r="L686" s="27"/>
    </row>
    <row r="687">
      <c r="C687" s="22"/>
      <c r="K687" s="3"/>
      <c r="L687" s="27"/>
    </row>
    <row r="688">
      <c r="C688" s="22"/>
      <c r="K688" s="3"/>
      <c r="L688" s="27"/>
    </row>
    <row r="689">
      <c r="C689" s="22"/>
      <c r="K689" s="3"/>
      <c r="L689" s="27"/>
    </row>
    <row r="690">
      <c r="C690" s="22"/>
      <c r="K690" s="3"/>
      <c r="L690" s="27"/>
    </row>
    <row r="691">
      <c r="C691" s="22"/>
      <c r="K691" s="3"/>
      <c r="L691" s="27"/>
    </row>
    <row r="692">
      <c r="C692" s="22"/>
      <c r="K692" s="3"/>
      <c r="L692" s="27"/>
    </row>
    <row r="693">
      <c r="C693" s="22"/>
      <c r="K693" s="3"/>
      <c r="L693" s="27"/>
    </row>
    <row r="694">
      <c r="C694" s="22"/>
      <c r="K694" s="3"/>
      <c r="L694" s="27"/>
    </row>
    <row r="695">
      <c r="C695" s="22"/>
      <c r="K695" s="3"/>
      <c r="L695" s="27"/>
    </row>
    <row r="696">
      <c r="C696" s="22"/>
      <c r="K696" s="3"/>
      <c r="L696" s="27"/>
    </row>
    <row r="697">
      <c r="C697" s="22"/>
      <c r="K697" s="3"/>
      <c r="L697" s="27"/>
    </row>
    <row r="698">
      <c r="C698" s="22"/>
      <c r="K698" s="3"/>
      <c r="L698" s="27"/>
    </row>
    <row r="699">
      <c r="C699" s="22"/>
      <c r="K699" s="3"/>
      <c r="L699" s="27"/>
    </row>
    <row r="700">
      <c r="C700" s="22"/>
      <c r="K700" s="3"/>
      <c r="L700" s="27"/>
    </row>
    <row r="701">
      <c r="C701" s="22"/>
      <c r="K701" s="3"/>
      <c r="L701" s="27"/>
    </row>
    <row r="702">
      <c r="C702" s="22"/>
      <c r="K702" s="3"/>
      <c r="L702" s="27"/>
    </row>
    <row r="703">
      <c r="C703" s="22"/>
      <c r="K703" s="3"/>
      <c r="L703" s="27"/>
    </row>
    <row r="704">
      <c r="C704" s="22"/>
      <c r="K704" s="3"/>
      <c r="L704" s="27"/>
    </row>
    <row r="705">
      <c r="C705" s="22"/>
      <c r="K705" s="3"/>
      <c r="L705" s="27"/>
    </row>
    <row r="706">
      <c r="C706" s="22"/>
      <c r="K706" s="3"/>
      <c r="L706" s="27"/>
    </row>
    <row r="707">
      <c r="C707" s="22"/>
      <c r="K707" s="3"/>
      <c r="L707" s="27"/>
    </row>
    <row r="708">
      <c r="C708" s="22"/>
      <c r="K708" s="3"/>
      <c r="L708" s="27"/>
    </row>
    <row r="709">
      <c r="C709" s="22"/>
      <c r="K709" s="3"/>
      <c r="L709" s="27"/>
    </row>
    <row r="710">
      <c r="C710" s="22"/>
      <c r="K710" s="3"/>
      <c r="L710" s="27"/>
    </row>
    <row r="711">
      <c r="C711" s="22"/>
      <c r="K711" s="3"/>
      <c r="L711" s="27"/>
    </row>
    <row r="712">
      <c r="C712" s="22"/>
      <c r="K712" s="3"/>
      <c r="L712" s="27"/>
    </row>
    <row r="713">
      <c r="C713" s="22"/>
      <c r="K713" s="3"/>
      <c r="L713" s="27"/>
    </row>
    <row r="714">
      <c r="C714" s="22"/>
      <c r="K714" s="3"/>
      <c r="L714" s="27"/>
    </row>
    <row r="715">
      <c r="C715" s="22"/>
      <c r="K715" s="3"/>
      <c r="L715" s="27"/>
    </row>
    <row r="716">
      <c r="C716" s="22"/>
      <c r="K716" s="3"/>
      <c r="L716" s="27"/>
    </row>
    <row r="717">
      <c r="C717" s="22"/>
      <c r="K717" s="3"/>
      <c r="L717" s="27"/>
    </row>
    <row r="718">
      <c r="C718" s="22"/>
      <c r="K718" s="3"/>
      <c r="L718" s="27"/>
    </row>
    <row r="719">
      <c r="C719" s="22"/>
      <c r="K719" s="3"/>
      <c r="L719" s="27"/>
    </row>
    <row r="720">
      <c r="C720" s="22"/>
      <c r="K720" s="3"/>
      <c r="L720" s="27"/>
    </row>
    <row r="721">
      <c r="C721" s="22"/>
      <c r="K721" s="3"/>
      <c r="L721" s="27"/>
    </row>
    <row r="722">
      <c r="C722" s="22"/>
      <c r="K722" s="3"/>
      <c r="L722" s="27"/>
    </row>
    <row r="723">
      <c r="C723" s="22"/>
      <c r="K723" s="3"/>
      <c r="L723" s="27"/>
    </row>
    <row r="724">
      <c r="C724" s="22"/>
      <c r="K724" s="3"/>
      <c r="L724" s="27"/>
    </row>
    <row r="725">
      <c r="C725" s="22"/>
      <c r="K725" s="3"/>
      <c r="L725" s="27"/>
    </row>
    <row r="726">
      <c r="C726" s="22"/>
      <c r="K726" s="3"/>
      <c r="L726" s="27"/>
    </row>
    <row r="727">
      <c r="C727" s="22"/>
      <c r="K727" s="3"/>
      <c r="L727" s="27"/>
    </row>
    <row r="728">
      <c r="C728" s="22"/>
      <c r="K728" s="3"/>
      <c r="L728" s="27"/>
    </row>
    <row r="729">
      <c r="C729" s="22"/>
      <c r="K729" s="3"/>
      <c r="L729" s="27"/>
    </row>
    <row r="730">
      <c r="C730" s="22"/>
      <c r="K730" s="3"/>
      <c r="L730" s="27"/>
    </row>
    <row r="731">
      <c r="C731" s="22"/>
      <c r="K731" s="3"/>
      <c r="L731" s="27"/>
    </row>
    <row r="732">
      <c r="C732" s="22"/>
      <c r="K732" s="3"/>
      <c r="L732" s="27"/>
    </row>
    <row r="733">
      <c r="C733" s="22"/>
      <c r="K733" s="3"/>
      <c r="L733" s="27"/>
    </row>
    <row r="734">
      <c r="C734" s="22"/>
      <c r="K734" s="3"/>
      <c r="L734" s="27"/>
    </row>
    <row r="735">
      <c r="C735" s="22"/>
      <c r="K735" s="3"/>
      <c r="L735" s="27"/>
    </row>
    <row r="736">
      <c r="C736" s="22"/>
      <c r="K736" s="3"/>
      <c r="L736" s="27"/>
    </row>
    <row r="737">
      <c r="C737" s="22"/>
      <c r="K737" s="3"/>
      <c r="L737" s="27"/>
    </row>
    <row r="738">
      <c r="C738" s="22"/>
      <c r="K738" s="3"/>
      <c r="L738" s="27"/>
    </row>
    <row r="739">
      <c r="C739" s="22"/>
      <c r="K739" s="3"/>
      <c r="L739" s="27"/>
    </row>
    <row r="740">
      <c r="C740" s="22"/>
      <c r="K740" s="3"/>
      <c r="L740" s="27"/>
    </row>
    <row r="741">
      <c r="C741" s="22"/>
      <c r="K741" s="3"/>
      <c r="L741" s="27"/>
    </row>
    <row r="742">
      <c r="C742" s="22"/>
      <c r="K742" s="3"/>
      <c r="L742" s="27"/>
    </row>
    <row r="743">
      <c r="C743" s="22"/>
      <c r="K743" s="3"/>
      <c r="L743" s="27"/>
    </row>
    <row r="744">
      <c r="C744" s="22"/>
      <c r="K744" s="3"/>
      <c r="L744" s="27"/>
    </row>
    <row r="745">
      <c r="C745" s="22"/>
      <c r="L745" s="27"/>
    </row>
    <row r="746">
      <c r="C746" s="22"/>
      <c r="K746" s="3"/>
      <c r="L746" s="27"/>
    </row>
    <row r="747">
      <c r="C747" s="22"/>
      <c r="K747" s="3"/>
      <c r="L747" s="27"/>
    </row>
    <row r="748">
      <c r="C748" s="22"/>
      <c r="K748" s="3"/>
      <c r="L748" s="27"/>
    </row>
    <row r="749">
      <c r="C749" s="22"/>
      <c r="L749" s="27"/>
    </row>
    <row r="750">
      <c r="C750" s="22"/>
      <c r="L750" s="27"/>
    </row>
    <row r="751">
      <c r="C751" s="22"/>
      <c r="L751" s="27"/>
    </row>
    <row r="752">
      <c r="C752" s="22"/>
      <c r="L752" s="27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</sheetData>
  <autoFilter ref="$A$1:$D$79"/>
  <mergeCells count="3">
    <mergeCell ref="J2:K2"/>
    <mergeCell ref="J10:K10"/>
    <mergeCell ref="J17:K17"/>
  </mergeCells>
  <conditionalFormatting sqref="L1:L766">
    <cfRule type="containsText" dxfId="0" priority="1" operator="containsText" text="Pago">
      <formula>NOT(ISERROR(SEARCH(("Pago"),(L1))))</formula>
    </cfRule>
  </conditionalFormatting>
  <conditionalFormatting sqref="L1:L766">
    <cfRule type="containsText" dxfId="1" priority="2" operator="containsText" text="Pendente">
      <formula>NOT(ISERROR(SEARCH(("Pendente"),(L1))))</formula>
    </cfRule>
  </conditionalFormatting>
  <hyperlinks>
    <hyperlink r:id="rId2" ref="B45"/>
  </hyperlinks>
  <drawing r:id="rId3"/>
</worksheet>
</file>